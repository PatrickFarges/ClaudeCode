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ces-Présences" sheetId="1" state="visible" r:id="rId3"/>
    <sheet name="Parameter" sheetId="2" state="hidden" r:id="rId4"/>
    <sheet name="Taux de valorisation" sheetId="3" state="visible" r:id="rId5"/>
    <sheet name="Calendrier" sheetId="4" state="visible" r:id="rId6"/>
    <sheet name="Sheet1" sheetId="5" state="visible" r:id="rId7"/>
    <sheet name="Aide remplissage" sheetId="6" state="visible" r:id="rId8"/>
  </sheets>
  <definedNames>
    <definedName function="false" hidden="true" localSheetId="0" name="_xlnm._FilterDatabase" vbProcedure="false">'Absences-Présences'!$A$7:$Y$156</definedName>
    <definedName function="false" hidden="false" localSheetId="5" name="_xlnm.Print_Area" vbProcedure="false">'Aide remplissage'!$A$1:$E$32</definedName>
    <definedName function="false" hidden="false" name="AcType" vbProcedure="false">Parameter!$B$21:$B$42</definedName>
    <definedName function="false" hidden="false" name="Char" vbProcedure="false">Parameter!$B$13:$B$15</definedName>
    <definedName function="false" hidden="false" name="CodeCal" vbProcedure="false">Calendrier!$A$2:$A$31</definedName>
    <definedName function="false" hidden="false" name="Dec" vbProcedure="false">Parameter!$B$17:$B$18</definedName>
    <definedName function="false" hidden="false" name="Freq" vbProcedure="false">Parameter!$B$6:$B$8</definedName>
    <definedName function="false" hidden="false" name="Sign" vbProcedure="false">Parameter!$B$10:$B$11</definedName>
    <definedName function="false" hidden="false" name="Tax" vbProcedure="false">Parameter!$B$3:$B$4</definedName>
    <definedName function="false" hidden="false" name="TH" vbProcedure="false">'Taux de valorisation'!$A$2:$A$4</definedName>
    <definedName function="false" hidden="false" name="TJ" vbProcedure="false">'Taux de valorisation'!$A$5:$A$22</definedName>
    <definedName function="false" hidden="false" name="Us" vbProcedure="false">'Aide remplissage'!$A$49:$A$50</definedName>
    <definedName function="false" hidden="false" name="Used" vbProcedure="false">'Aide remplissage'!$A$51:$A$52</definedName>
    <definedName function="false" hidden="false" name="YESNO" vbProcedure="false">'Aide remplissage'!$E$4:$E$6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Auteur inconnu</author>
  </authors>
  <commentList>
    <comment ref="P7" authorId="0">
      <text>
        <r>
          <rPr>
            <b val="true"/>
            <sz val="9"/>
            <color rgb="FF000000"/>
            <rFont val="Tahoma"/>
            <family val="2"/>
          </rPr>
          <t xml:space="preserve">Henri Poujol:
</t>
        </r>
        <r>
          <rPr>
            <sz val="9"/>
            <color rgb="FF000000"/>
            <rFont val="Tahoma"/>
            <family val="2"/>
          </rPr>
          <t xml:space="preserve">Uniquement possible si utilisation des vraies RPR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0</xdr:colOff>
                <xdr:row>6</xdr:row>
                <xdr:rowOff>0</xdr:rowOff>
              </xdr:from>
              <xdr:to>
                <xdr:col>17</xdr:col>
                <xdr:colOff>0</xdr:colOff>
                <xdr:row>7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<sst xmlns="http://schemas.openxmlformats.org/spreadsheetml/2006/main" count="2290" uniqueCount="614">
  <si>
    <t xml:space="preserve">FR Absences/Présences Catalogue</t>
  </si>
  <si>
    <t xml:space="preserve">Absences/Présences EuHReka  </t>
  </si>
  <si>
    <t xml:space="preserve">Used</t>
  </si>
  <si>
    <t xml:space="preserve">Paiement</t>
  </si>
  <si>
    <t xml:space="preserve">Retenue</t>
  </si>
  <si>
    <t xml:space="preserve">Pilotage Paie</t>
  </si>
  <si>
    <t xml:space="preserve">Customizing
Table Y00BA_VIE_COMPAN</t>
  </si>
  <si>
    <t xml:space="preserve">Code Absences/Présences </t>
  </si>
  <si>
    <t xml:space="preserve">Libellé Absences</t>
  </si>
  <si>
    <t xml:space="preserve">Rubrique Paiement euHReka</t>
  </si>
  <si>
    <t xml:space="preserve">Libellé Rubrique paiement</t>
  </si>
  <si>
    <t xml:space="preserve">Unité de temps</t>
  </si>
  <si>
    <t xml:space="preserve">Nombre</t>
  </si>
  <si>
    <t xml:space="preserve">Montant</t>
  </si>
  <si>
    <t xml:space="preserve">Formule de calcul</t>
  </si>
  <si>
    <t xml:space="preserve">Taux horaire</t>
  </si>
  <si>
    <t xml:space="preserve">Taux jour</t>
  </si>
  <si>
    <t xml:space="preserve">Pénalisant 13ème mois</t>
  </si>
  <si>
    <t xml:space="preserve">Pénalisant Prime de Vacances</t>
  </si>
  <si>
    <t xml:space="preserve">Pénalisant Prime d'ancienneté</t>
  </si>
  <si>
    <t xml:space="preserve">Pénalisant RATP -&gt; transport</t>
  </si>
  <si>
    <t xml:space="preserve">Additional
Comments</t>
  </si>
  <si>
    <t xml:space="preserve">WD absence name</t>
  </si>
  <si>
    <t xml:space="preserve">Taux paiemnt</t>
  </si>
  <si>
    <t xml:space="preserve">Taux retenue</t>
  </si>
  <si>
    <t xml:space="preserve">Modicateur Eurheka</t>
  </si>
  <si>
    <t xml:space="preserve">Valeur</t>
  </si>
  <si>
    <t xml:space="preserve">(01xx) </t>
  </si>
  <si>
    <t xml:space="preserve">Congés Payés</t>
  </si>
  <si>
    <t xml:space="preserve">Congés payés acquis</t>
  </si>
  <si>
    <t xml:space="preserve">■</t>
  </si>
  <si>
    <t xml:space="preserve">Paiement CP acquis</t>
  </si>
  <si>
    <t xml:space="preserve">Jours de paie</t>
  </si>
  <si>
    <t xml:space="preserve">Retenue CP acquis</t>
  </si>
  <si>
    <t xml:space="preserve">Jour</t>
  </si>
  <si>
    <t xml:space="preserve">cf questionnaire de paie pour le 10èCP</t>
  </si>
  <si>
    <t xml:space="preserve">TJ10</t>
  </si>
  <si>
    <t xml:space="preserve">□</t>
  </si>
  <si>
    <t xml:space="preserve">CP2</t>
  </si>
  <si>
    <t xml:space="preserve">Vacation plan (Earned) - Congés payés acquis</t>
  </si>
  <si>
    <t xml:space="preserve">07</t>
  </si>
  <si>
    <t xml:space="preserve">12</t>
  </si>
  <si>
    <t xml:space="preserve">N/R</t>
  </si>
  <si>
    <t xml:space="preserve">Congés payés anticipés</t>
  </si>
  <si>
    <t xml:space="preserve">Paiement CP anticipés</t>
  </si>
  <si>
    <t xml:space="preserve">Retenue CP Anticipés</t>
  </si>
  <si>
    <t xml:space="preserve">CP1</t>
  </si>
  <si>
    <t xml:space="preserve">Vacation plan (In Progress) - Congés payés en-cours</t>
  </si>
  <si>
    <t xml:space="preserve">11</t>
  </si>
  <si>
    <t xml:space="preserve">Congés payés reliquats</t>
  </si>
  <si>
    <t xml:space="preserve">Paiement CP reliquats</t>
  </si>
  <si>
    <t xml:space="preserve">Retenue CP reliquats</t>
  </si>
  <si>
    <t xml:space="preserve">CP3</t>
  </si>
  <si>
    <r>
      <rPr>
        <sz val="10"/>
        <rFont val="Arial"/>
        <family val="2"/>
      </rPr>
      <t xml:space="preserve">Vacation plan (Earned) - Congés payés acquis - </t>
    </r>
    <r>
      <rPr>
        <b val="true"/>
        <sz val="10"/>
        <color rgb="FFFF0000"/>
        <rFont val="Arial"/>
        <family val="2"/>
      </rPr>
      <t xml:space="preserve">Carryover</t>
    </r>
  </si>
  <si>
    <t xml:space="preserve">09</t>
  </si>
  <si>
    <t xml:space="preserve">Congés de fractionnement</t>
  </si>
  <si>
    <t xml:space="preserve">Paiement Congés Fraction</t>
  </si>
  <si>
    <t xml:space="preserve">Retenue Congés Fraction</t>
  </si>
  <si>
    <t xml:space="preserve">TJ6</t>
  </si>
  <si>
    <t xml:space="preserve">30</t>
  </si>
  <si>
    <t xml:space="preserve">06VL1</t>
  </si>
  <si>
    <t xml:space="preserve">Congés d'ancienneté</t>
  </si>
  <si>
    <t xml:space="preserve">Paiement Congé d'ancienn.</t>
  </si>
  <si>
    <t xml:space="preserve">Retenue Congés d'Ancienn.</t>
  </si>
  <si>
    <t xml:space="preserve">Seniority days</t>
  </si>
  <si>
    <t xml:space="preserve">Congés cadres</t>
  </si>
  <si>
    <t xml:space="preserve">Paiement Congés Cadres</t>
  </si>
  <si>
    <t xml:space="preserve">Retenue Congés Cadres</t>
  </si>
  <si>
    <t xml:space="preserve">Congés conventionnels</t>
  </si>
  <si>
    <t xml:space="preserve">Paiem. Congés convent.</t>
  </si>
  <si>
    <t xml:space="preserve">Ret. Congés convention.</t>
  </si>
  <si>
    <t xml:space="preserve">GAP with euHReka standard</t>
  </si>
  <si>
    <t xml:space="preserve">Congés supplementaire</t>
  </si>
  <si>
    <t xml:space="preserve">Paiem. Congés supplemen.</t>
  </si>
  <si>
    <t xml:space="preserve">Ret. Congés supplemen.</t>
  </si>
  <si>
    <t xml:space="preserve">Extra Time vacation</t>
  </si>
  <si>
    <t xml:space="preserve">Solidarite CP</t>
  </si>
  <si>
    <t xml:space="preserve">Paiem.Solidarité CP</t>
  </si>
  <si>
    <t xml:space="preserve">Ret. Solidarité CP</t>
  </si>
  <si>
    <t xml:space="preserve">pas de counter</t>
  </si>
  <si>
    <t xml:space="preserve">Solidarité to check</t>
  </si>
  <si>
    <t xml:space="preserve">Solidarite  </t>
  </si>
  <si>
    <t xml:space="preserve">Paiem.Solidarité </t>
  </si>
  <si>
    <t xml:space="preserve">Retenue Solidarité </t>
  </si>
  <si>
    <t xml:space="preserve">(04xx)</t>
  </si>
  <si>
    <t xml:space="preserve">35h </t>
  </si>
  <si>
    <t xml:space="preserve">RTT</t>
  </si>
  <si>
    <t xml:space="preserve">Paiement RTT</t>
  </si>
  <si>
    <t xml:space="preserve">Retenue RTT</t>
  </si>
  <si>
    <t xml:space="preserve">Work Time Reduction </t>
  </si>
  <si>
    <t xml:space="preserve">31</t>
  </si>
  <si>
    <t xml:space="preserve">06VL2</t>
  </si>
  <si>
    <t xml:space="preserve">RTT employé</t>
  </si>
  <si>
    <t xml:space="preserve">RTT employeur</t>
  </si>
  <si>
    <t xml:space="preserve">CET</t>
  </si>
  <si>
    <t xml:space="preserve">Paiement CET</t>
  </si>
  <si>
    <t xml:space="preserve">Retenue CET</t>
  </si>
  <si>
    <t xml:space="preserve">38</t>
  </si>
  <si>
    <t xml:space="preserve">RTT solidarite </t>
  </si>
  <si>
    <t xml:space="preserve">Paiem.Solidarité RTT</t>
  </si>
  <si>
    <t xml:space="preserve">Retenue Solidarité RTT</t>
  </si>
  <si>
    <t xml:space="preserve">(05xx)</t>
  </si>
  <si>
    <t xml:space="preserve">Repos Compensateur</t>
  </si>
  <si>
    <t xml:space="preserve">Contrep. Oblig. Repos (H)</t>
  </si>
  <si>
    <t xml:space="preserve">Paiement Repos Comp Légal</t>
  </si>
  <si>
    <t xml:space="preserve">Heures de paie</t>
  </si>
  <si>
    <t xml:space="preserve">Retenue Repos Comp Légal</t>
  </si>
  <si>
    <t xml:space="preserve">Heure</t>
  </si>
  <si>
    <t xml:space="preserve">TH2</t>
  </si>
  <si>
    <t xml:space="preserve">32</t>
  </si>
  <si>
    <t xml:space="preserve">06VL4</t>
  </si>
  <si>
    <t xml:space="preserve">Contrep. Oblig. Repos (J)</t>
  </si>
  <si>
    <t xml:space="preserve">3D10 ??</t>
  </si>
  <si>
    <t xml:space="preserve">Paiement Jour de Pont</t>
  </si>
  <si>
    <t xml:space="preserve">3A10 ??</t>
  </si>
  <si>
    <t xml:space="preserve">Retenue Jour de Pont</t>
  </si>
  <si>
    <t xml:space="preserve">06VL3 ??</t>
  </si>
  <si>
    <t xml:space="preserve">Repos compens. équivalent</t>
  </si>
  <si>
    <t xml:space="preserve">Paiem. Repos Comp Rempl</t>
  </si>
  <si>
    <t xml:space="preserve">Retenue Rep Comp Remplac</t>
  </si>
  <si>
    <t xml:space="preserve">33</t>
  </si>
  <si>
    <t xml:space="preserve">06VL3</t>
  </si>
  <si>
    <t xml:space="preserve">Repos compens. modulation</t>
  </si>
  <si>
    <t xml:space="preserve">Paiem. Repos Comp. Modul.</t>
  </si>
  <si>
    <t xml:space="preserve">Retenue Rep Comp Modul</t>
  </si>
  <si>
    <t xml:space="preserve">Recup crédit d'heures J</t>
  </si>
  <si>
    <t xml:space="preserve">Paiement Crédit d'Heures</t>
  </si>
  <si>
    <t xml:space="preserve">Retenue Crédit d'heures</t>
  </si>
  <si>
    <t xml:space="preserve">(1xxx et 2xxx)</t>
  </si>
  <si>
    <t xml:space="preserve">Arrêt de travail </t>
  </si>
  <si>
    <t xml:space="preserve">Maladie</t>
  </si>
  <si>
    <t xml:space="preserve">Paiement Maladie 100%</t>
  </si>
  <si>
    <t xml:space="preserve">Jours calendrier</t>
  </si>
  <si>
    <t xml:space="preserve">Retenue Maladie</t>
  </si>
  <si>
    <t xml:space="preserve">TJ17</t>
  </si>
  <si>
    <t xml:space="preserve">Pénalise RATP si absence tout le mois </t>
  </si>
  <si>
    <t xml:space="preserve">Sick Time Off</t>
  </si>
  <si>
    <t xml:space="preserve">34</t>
  </si>
  <si>
    <t xml:space="preserve">06VL5</t>
  </si>
  <si>
    <t xml:space="preserve">Paiement Maladie 90%</t>
  </si>
  <si>
    <t xml:space="preserve">Paiement Maladie 75%</t>
  </si>
  <si>
    <t xml:space="preserve">Paiement Maladie 66,66%</t>
  </si>
  <si>
    <t xml:space="preserve">Paiement Maladie 50%</t>
  </si>
  <si>
    <t xml:space="preserve">Accident du travail</t>
  </si>
  <si>
    <t xml:space="preserve">Paiement ATT 100%</t>
  </si>
  <si>
    <t xml:space="preserve">Retenue ATT</t>
  </si>
  <si>
    <t xml:space="preserve">Work accident</t>
  </si>
  <si>
    <t xml:space="preserve">Paiement ATT 90%</t>
  </si>
  <si>
    <t xml:space="preserve">Paiement ATT 75%</t>
  </si>
  <si>
    <t xml:space="preserve">Paiement ATT 66,66%</t>
  </si>
  <si>
    <t xml:space="preserve">Paiement ATT 50%</t>
  </si>
  <si>
    <t xml:space="preserve">Accident du trajet</t>
  </si>
  <si>
    <t xml:space="preserve">Paiement ATJ 100%</t>
  </si>
  <si>
    <t xml:space="preserve">Retenue Accident  trajet</t>
  </si>
  <si>
    <t xml:space="preserve">Journey home to work accident</t>
  </si>
  <si>
    <t xml:space="preserve">3V00</t>
  </si>
  <si>
    <t xml:space="preserve">Paiement ATJ 90%</t>
  </si>
  <si>
    <t xml:space="preserve">Paiement ATJ 75%</t>
  </si>
  <si>
    <t xml:space="preserve">3V10</t>
  </si>
  <si>
    <t xml:space="preserve">Paiement ATJ 66,66%</t>
  </si>
  <si>
    <t xml:space="preserve">Paiement ATJ 50%</t>
  </si>
  <si>
    <t xml:space="preserve">Maladie professionnelle</t>
  </si>
  <si>
    <t xml:space="preserve">Paiement Mal Prof 100%</t>
  </si>
  <si>
    <t xml:space="preserve">Retenue Mal. Prof.</t>
  </si>
  <si>
    <t xml:space="preserve">Work reladed illness (occupational disease)</t>
  </si>
  <si>
    <t xml:space="preserve">Mi-temps thérapeutique</t>
  </si>
  <si>
    <t xml:space="preserve">Paiem MiTps Thérapeutiq</t>
  </si>
  <si>
    <t xml:space="preserve">Retenue MiTps Thérapeutiq</t>
  </si>
  <si>
    <t xml:space="preserve">Partially uncapable for work</t>
  </si>
  <si>
    <t xml:space="preserve">Cure</t>
  </si>
  <si>
    <t xml:space="preserve">Paiement Cure</t>
  </si>
  <si>
    <t xml:space="preserve">Retenue Cure</t>
  </si>
  <si>
    <t xml:space="preserve">Maternité</t>
  </si>
  <si>
    <t xml:space="preserve">Paiement Maternité</t>
  </si>
  <si>
    <t xml:space="preserve">Retenue Maternité</t>
  </si>
  <si>
    <t xml:space="preserve">Maternity leave</t>
  </si>
  <si>
    <t xml:space="preserve">Maternité prénatale</t>
  </si>
  <si>
    <t xml:space="preserve">3V40</t>
  </si>
  <si>
    <t xml:space="preserve">Paiem. Mater. Pré-nat.</t>
  </si>
  <si>
    <t xml:space="preserve">3H40</t>
  </si>
  <si>
    <t xml:space="preserve">Retenue Mater. Pré-nat.</t>
  </si>
  <si>
    <t xml:space="preserve">Maternité postnatale</t>
  </si>
  <si>
    <t xml:space="preserve">3V50</t>
  </si>
  <si>
    <t xml:space="preserve">Paiem. Mater. Post-nat.</t>
  </si>
  <si>
    <t xml:space="preserve">3H50</t>
  </si>
  <si>
    <t xml:space="preserve">Retenue Mater. Post-nat.</t>
  </si>
  <si>
    <t xml:space="preserve">Paternité</t>
  </si>
  <si>
    <t xml:space="preserve">Paiement Paternité</t>
  </si>
  <si>
    <t xml:space="preserve">Retenue Paternité</t>
  </si>
  <si>
    <t xml:space="preserve">Paternity </t>
  </si>
  <si>
    <t xml:space="preserve">Congé d'adoption</t>
  </si>
  <si>
    <t xml:space="preserve">Paiement Congé Adoption</t>
  </si>
  <si>
    <t xml:space="preserve">Retenue Congé Adoption</t>
  </si>
  <si>
    <t xml:space="preserve">Adoption leave</t>
  </si>
  <si>
    <t xml:space="preserve">Congés pahologiques</t>
  </si>
  <si>
    <t xml:space="preserve">Paiement Congé Pathologiq</t>
  </si>
  <si>
    <t xml:space="preserve">Retenue Congé Pathologiq</t>
  </si>
  <si>
    <t xml:space="preserve">Retenue Invalidité</t>
  </si>
  <si>
    <t xml:space="preserve">Retenue Invalidite</t>
  </si>
  <si>
    <t xml:space="preserve">Disabillty leave</t>
  </si>
  <si>
    <t xml:space="preserve">(3xxx)</t>
  </si>
  <si>
    <t xml:space="preserve">Absences diverses payées</t>
  </si>
  <si>
    <t xml:space="preserve">Absence autorisée payée</t>
  </si>
  <si>
    <t xml:space="preserve">Paiem. Abs Autor. Payée</t>
  </si>
  <si>
    <t xml:space="preserve">Retenue Abs Autor Payée</t>
  </si>
  <si>
    <t xml:space="preserve">Paid Time off</t>
  </si>
  <si>
    <t xml:space="preserve">35</t>
  </si>
  <si>
    <t xml:space="preserve">06VL6</t>
  </si>
  <si>
    <t xml:space="preserve">Jour de pont</t>
  </si>
  <si>
    <t xml:space="preserve">3D10</t>
  </si>
  <si>
    <t xml:space="preserve">3A10</t>
  </si>
  <si>
    <t xml:space="preserve">Préavis effectué et payé</t>
  </si>
  <si>
    <t xml:space="preserve">Paiem. Préav. effectué</t>
  </si>
  <si>
    <t xml:space="preserve">Ret. Préav. payé effectué</t>
  </si>
  <si>
    <t xml:space="preserve">Garden leave</t>
  </si>
  <si>
    <t xml:space="preserve">Préavis non effectué payé</t>
  </si>
  <si>
    <t xml:space="preserve">Paiem. Préavis non effect</t>
  </si>
  <si>
    <t xml:space="preserve">Ret. Préav. payé non eff.</t>
  </si>
  <si>
    <t xml:space="preserve">Garden leave unpaid</t>
  </si>
  <si>
    <t xml:space="preserve">Recherche d'emploi</t>
  </si>
  <si>
    <t xml:space="preserve">Paiem Recherche d'Emploi</t>
  </si>
  <si>
    <t xml:space="preserve">Retenue Recherched'Emploi</t>
  </si>
  <si>
    <t xml:space="preserve">Enfant malade</t>
  </si>
  <si>
    <t xml:space="preserve">Paiem. Abs Enfant malade</t>
  </si>
  <si>
    <t xml:space="preserve">Retenue Abs Enfant Malade</t>
  </si>
  <si>
    <t xml:space="preserve">Congés événmts familliaux</t>
  </si>
  <si>
    <t xml:space="preserve">Paiement Abs Even Fam</t>
  </si>
  <si>
    <t xml:space="preserve">Retenue Abs Even Familial</t>
  </si>
  <si>
    <t xml:space="preserve">Personal Time Off - Child wedding</t>
  </si>
  <si>
    <t xml:space="preserve">Congés mariage</t>
  </si>
  <si>
    <t xml:space="preserve">Personal Time Off - Type Wedding, PACS</t>
  </si>
  <si>
    <t xml:space="preserve">Congés naissance</t>
  </si>
  <si>
    <t xml:space="preserve">Personal Time Off - Type Birth, adoption</t>
  </si>
  <si>
    <t xml:space="preserve">Congés décès</t>
  </si>
  <si>
    <t xml:space="preserve">Compassionate leave - Type Death child,husband,…</t>
  </si>
  <si>
    <t xml:space="preserve">Congés déménagement</t>
  </si>
  <si>
    <t xml:space="preserve">Personal Time Off - Type Moving</t>
  </si>
  <si>
    <t xml:space="preserve">Absence autorisée payée H</t>
  </si>
  <si>
    <t xml:space="preserve">Paiem. Abs Autor. Payée H</t>
  </si>
  <si>
    <t xml:space="preserve">Retenue Abs Autor Payée H</t>
  </si>
  <si>
    <t xml:space="preserve">Préavis effectué et payé H</t>
  </si>
  <si>
    <t xml:space="preserve">Paiem. Préav. Effectué H</t>
  </si>
  <si>
    <t xml:space="preserve">Ret. Préav. payé effectué H</t>
  </si>
  <si>
    <t xml:space="preserve">TH1</t>
  </si>
  <si>
    <t xml:space="preserve">Préavis non effectué payé H</t>
  </si>
  <si>
    <t xml:space="preserve">Paiem. Préavis non effect H</t>
  </si>
  <si>
    <t xml:space="preserve">Ret. Préav. payé non eff. H</t>
  </si>
  <si>
    <t xml:space="preserve">Congés événmts familliaux H</t>
  </si>
  <si>
    <t xml:space="preserve">Paiement Abs Even Fam H</t>
  </si>
  <si>
    <t xml:space="preserve">Retenue Abs Even Familial H</t>
  </si>
  <si>
    <t xml:space="preserve">Congés mariage H</t>
  </si>
  <si>
    <t xml:space="preserve">Congés naissance H</t>
  </si>
  <si>
    <t xml:space="preserve">Congés décès H</t>
  </si>
  <si>
    <t xml:space="preserve">Congés déménagement H</t>
  </si>
  <si>
    <t xml:space="preserve">congé   préavis</t>
  </si>
  <si>
    <t xml:space="preserve">Pai.Préav.</t>
  </si>
  <si>
    <t xml:space="preserve">Abs préavis</t>
  </si>
  <si>
    <t xml:space="preserve">(4xxx) </t>
  </si>
  <si>
    <t xml:space="preserve">Absences diverses non payées </t>
  </si>
  <si>
    <t xml:space="preserve">Absence autor. non payée</t>
  </si>
  <si>
    <t xml:space="preserve">Retenue Abs Autor Non pay</t>
  </si>
  <si>
    <t xml:space="preserve">Unpaid Leave of Absence</t>
  </si>
  <si>
    <t xml:space="preserve">36</t>
  </si>
  <si>
    <t xml:space="preserve">06VL7</t>
  </si>
  <si>
    <t xml:space="preserve">Abs. non autor. non payée</t>
  </si>
  <si>
    <t xml:space="preserve">Retenue Grève</t>
  </si>
  <si>
    <t xml:space="preserve">Unauthorized Unpaid Time Off</t>
  </si>
  <si>
    <t xml:space="preserve">Mise à pied</t>
  </si>
  <si>
    <t xml:space="preserve">attention -&gt; mention interdite sur le BS</t>
  </si>
  <si>
    <t xml:space="preserve">Chômage partiel</t>
  </si>
  <si>
    <t xml:space="preserve">Alloc. Conv Chôm. Part.</t>
  </si>
  <si>
    <t xml:space="preserve">Heures d'absence</t>
  </si>
  <si>
    <t xml:space="preserve">Retenue Chômage partiel</t>
  </si>
  <si>
    <t xml:space="preserve">3900 - Alloc. Spéc Act Partielle</t>
  </si>
  <si>
    <t xml:space="preserve">04</t>
  </si>
  <si>
    <t xml:space="preserve">Chômage technique</t>
  </si>
  <si>
    <t xml:space="preserve">Paiement Chômage techniq</t>
  </si>
  <si>
    <t xml:space="preserve">Retenue Chôm. Technique</t>
  </si>
  <si>
    <t xml:space="preserve">Absence injustifiée</t>
  </si>
  <si>
    <t xml:space="preserve">Retenue Abs injustifiée</t>
  </si>
  <si>
    <t xml:space="preserve">Congé parental</t>
  </si>
  <si>
    <t xml:space="preserve">Retenue Congé parental</t>
  </si>
  <si>
    <t xml:space="preserve">Géré par suspension de contrat</t>
  </si>
  <si>
    <t xml:space="preserve">Parental leave</t>
  </si>
  <si>
    <t xml:space="preserve">Congé sabbatique</t>
  </si>
  <si>
    <t xml:space="preserve">Retenue Congé Sabbatique</t>
  </si>
  <si>
    <t xml:space="preserve">Sabbatical leave</t>
  </si>
  <si>
    <t xml:space="preserve">Congé création d'entr.</t>
  </si>
  <si>
    <t xml:space="preserve">Retenue Congé Créat Entrp</t>
  </si>
  <si>
    <t xml:space="preserve">Company Creation Leave</t>
  </si>
  <si>
    <t xml:space="preserve">Congé sans solde</t>
  </si>
  <si>
    <t xml:space="preserve">Retenue Congés sans solde</t>
  </si>
  <si>
    <t xml:space="preserve">Unpaid Time off</t>
  </si>
  <si>
    <t xml:space="preserve">Absence autor. non payée H</t>
  </si>
  <si>
    <t xml:space="preserve">Retenue Abs Autor Non pay H</t>
  </si>
  <si>
    <t xml:space="preserve">Greve</t>
  </si>
  <si>
    <t xml:space="preserve">Strike</t>
  </si>
  <si>
    <t xml:space="preserve">Greve H</t>
  </si>
  <si>
    <t xml:space="preserve">Mise à pied H</t>
  </si>
  <si>
    <t xml:space="preserve">Abs. non autor. non payée H</t>
  </si>
  <si>
    <t xml:space="preserve">Absence injustifiée H</t>
  </si>
  <si>
    <t xml:space="preserve">Retenue Abs injustifiée H</t>
  </si>
  <si>
    <t xml:space="preserve">Congé parental H</t>
  </si>
  <si>
    <t xml:space="preserve">Retenue Congé parental H</t>
  </si>
  <si>
    <t xml:space="preserve">Congé sabbatique H</t>
  </si>
  <si>
    <t xml:space="preserve">Retenue Congé Sabbatique H</t>
  </si>
  <si>
    <t xml:space="preserve">Congé création d'entr. H</t>
  </si>
  <si>
    <t xml:space="preserve">Retenue Congé Créat Entrp H</t>
  </si>
  <si>
    <t xml:space="preserve">Congé sans solde H</t>
  </si>
  <si>
    <t xml:space="preserve">Retenue Congés sans solde H</t>
  </si>
  <si>
    <t xml:space="preserve">Abs congé reclassement hors préavis</t>
  </si>
  <si>
    <t xml:space="preserve">Ret Abs CReclaHrs Preavis</t>
  </si>
  <si>
    <t xml:space="preserve">Social Plan Partially unpaid Leave</t>
  </si>
  <si>
    <t xml:space="preserve">Congé présence parentale</t>
  </si>
  <si>
    <t xml:space="preserve">Retenue Congé présence parental</t>
  </si>
  <si>
    <t xml:space="preserve">Parental presence leave</t>
  </si>
  <si>
    <t xml:space="preserve">Abs congé reclassement suspendu</t>
  </si>
  <si>
    <t xml:space="preserve">Ret Abs Cgé Recl. Suspendu</t>
  </si>
  <si>
    <t xml:space="preserve">Social Plan Suspended Contract Leave</t>
  </si>
  <si>
    <t xml:space="preserve">(xxxx)</t>
  </si>
  <si>
    <t xml:space="preserve">Formation</t>
  </si>
  <si>
    <t xml:space="preserve">CIF indemnisé</t>
  </si>
  <si>
    <t xml:space="preserve">Paiement CIF 100%</t>
  </si>
  <si>
    <t xml:space="preserve">Retenue CIF</t>
  </si>
  <si>
    <t xml:space="preserve">Individual Training Leave (Paid)</t>
  </si>
  <si>
    <t xml:space="preserve">CIF non indemnisé</t>
  </si>
  <si>
    <t xml:space="preserve">Individual Training Leave (Unpaid)</t>
  </si>
  <si>
    <t xml:space="preserve">DIF dans temps de travail</t>
  </si>
  <si>
    <t xml:space="preserve">3D20</t>
  </si>
  <si>
    <t xml:space="preserve">Paiement DIF dans Tps Tra</t>
  </si>
  <si>
    <t xml:space="preserve">3A20</t>
  </si>
  <si>
    <t xml:space="preserve">Retenue DIF dans Tps Trav</t>
  </si>
  <si>
    <t xml:space="preserve">01</t>
  </si>
  <si>
    <t xml:space="preserve">CIF indemnisé H</t>
  </si>
  <si>
    <t xml:space="preserve">Retenue CIF H</t>
  </si>
  <si>
    <t xml:space="preserve">CIF non indemnisé H</t>
  </si>
  <si>
    <t xml:space="preserve">(9xxx)</t>
  </si>
  <si>
    <t xml:space="preserve">Présences</t>
  </si>
  <si>
    <t xml:space="preserve">Présence effective</t>
  </si>
  <si>
    <t xml:space="preserve">Heures supplémentaires</t>
  </si>
  <si>
    <t xml:space="preserve">Mission</t>
  </si>
  <si>
    <t xml:space="preserve">Déplacement</t>
  </si>
  <si>
    <t xml:space="preserve">Astreinte sans intervention</t>
  </si>
  <si>
    <t xml:space="preserve">Astreinte avec intervention</t>
  </si>
  <si>
    <t xml:space="preserve">Garde</t>
  </si>
  <si>
    <t xml:space="preserve">Visite médicale</t>
  </si>
  <si>
    <t xml:space="preserve">Réunion d'informations</t>
  </si>
  <si>
    <t xml:space="preserve">Formation externe</t>
  </si>
  <si>
    <t xml:space="preserve">Formation interne</t>
  </si>
  <si>
    <t xml:space="preserve">Congé individuel de formation</t>
  </si>
  <si>
    <t xml:space="preserve">DIF hors temps de travail</t>
  </si>
  <si>
    <t xml:space="preserve">Congé form. éco et syndic</t>
  </si>
  <si>
    <t xml:space="preserve">Délégation</t>
  </si>
  <si>
    <t xml:space="preserve">CE</t>
  </si>
  <si>
    <t xml:space="preserve">CHSCT</t>
  </si>
  <si>
    <t xml:space="preserve">Mission prud’homale</t>
  </si>
  <si>
    <t xml:space="preserve">Réunion mandat</t>
  </si>
  <si>
    <t xml:space="preserve">Please do not change !</t>
  </si>
  <si>
    <t xml:space="preserve">Tax</t>
  </si>
  <si>
    <t xml:space="preserve">Regular tax</t>
  </si>
  <si>
    <t xml:space="preserve">Exceptional tax</t>
  </si>
  <si>
    <t xml:space="preserve">Freq</t>
  </si>
  <si>
    <t xml:space="preserve">Automatic</t>
  </si>
  <si>
    <t xml:space="preserve">Recurring</t>
  </si>
  <si>
    <t xml:space="preserve">Ad-hoc</t>
  </si>
  <si>
    <t xml:space="preserve">Sign</t>
  </si>
  <si>
    <t xml:space="preserve">Payment</t>
  </si>
  <si>
    <t xml:space="preserve">Deduction</t>
  </si>
  <si>
    <t xml:space="preserve">Char</t>
  </si>
  <si>
    <t xml:space="preserve">Amount</t>
  </si>
  <si>
    <t xml:space="preserve">Number</t>
  </si>
  <si>
    <t xml:space="preserve">Both</t>
  </si>
  <si>
    <t xml:space="preserve">Dec</t>
  </si>
  <si>
    <t xml:space="preserve">Yes</t>
  </si>
  <si>
    <t xml:space="preserve">No</t>
  </si>
  <si>
    <t xml:space="preserve">AcType</t>
  </si>
  <si>
    <t xml:space="preserve">C - Expense account (C with EG)</t>
  </si>
  <si>
    <t xml:space="preserve">D - Expense account (C w/o EG)</t>
  </si>
  <si>
    <t xml:space="preserve">A - Balance sheet account (F with EG)</t>
  </si>
  <si>
    <t xml:space="preserve">B - Balance sheet account (F w/o EG)</t>
  </si>
  <si>
    <t xml:space="preserve">E - Balance sheet acc with perno (Q with EG)</t>
  </si>
  <si>
    <t xml:space="preserve">F - Balance sheet acc with perno (Q w/o EG)</t>
  </si>
  <si>
    <t xml:space="preserve">G - Personal customer accounts (D with EG)</t>
  </si>
  <si>
    <t xml:space="preserve">H - Personal customer accounts (D w/o EG)</t>
  </si>
  <si>
    <t xml:space="preserve">I - Personal vendor accounts (K with EG)</t>
  </si>
  <si>
    <t xml:space="preserve">J - Personal vendor accounts (K w/o EG)</t>
  </si>
  <si>
    <t xml:space="preserve">K - Check RA balance (FL with EG)</t>
  </si>
  <si>
    <t xml:space="preserve">L - Check RA balance (FL w/o EG)</t>
  </si>
  <si>
    <t xml:space="preserve">M - Balance sheet acc orig perno only (FO with EG)</t>
  </si>
  <si>
    <t xml:space="preserve">N - Balance sheet acc orig perno only (FO w/o EG)</t>
  </si>
  <si>
    <t xml:space="preserve">O - Balance sheet acc, evaluate C1/C0 (FE with EG)</t>
  </si>
  <si>
    <t xml:space="preserve">P - Balance sheet acc, evaluate C1/C0 (FE w/o EG)</t>
  </si>
  <si>
    <t xml:space="preserve">Q - Expense not relevant for cost accounting (E0 with EG)</t>
  </si>
  <si>
    <t xml:space="preserve">R - Expense not relevant for cost accounting (E0 w/o EG)</t>
  </si>
  <si>
    <t xml:space="preserve">S - Fixed vendor account (KF with EG)</t>
  </si>
  <si>
    <t xml:space="preserve">X - Fixed vendor account (KF w/o EG)</t>
  </si>
  <si>
    <t xml:space="preserve">Y - Expense account w/o quantity (CN with EG)</t>
  </si>
  <si>
    <t xml:space="preserve">Z - Expense account w/o quantity (CN w/o EG)</t>
  </si>
  <si>
    <t xml:space="preserve">/102</t>
  </si>
  <si>
    <t xml:space="preserve">Reg</t>
  </si>
  <si>
    <t xml:space="preserve">/103</t>
  </si>
  <si>
    <t xml:space="preserve">Non-Per</t>
  </si>
  <si>
    <t xml:space="preserve">/112</t>
  </si>
  <si>
    <t xml:space="preserve">Pen. Reg</t>
  </si>
  <si>
    <t xml:space="preserve">N</t>
  </si>
  <si>
    <t xml:space="preserve">PC47</t>
  </si>
  <si>
    <t xml:space="preserve">Lump Sum</t>
  </si>
  <si>
    <t xml:space="preserve">-</t>
  </si>
  <si>
    <t xml:space="preserve">/152</t>
  </si>
  <si>
    <t xml:space="preserve">/153</t>
  </si>
  <si>
    <t xml:space="preserve">/158</t>
  </si>
  <si>
    <t xml:space="preserve">Reg Comm.</t>
  </si>
  <si>
    <t xml:space="preserve">/162</t>
  </si>
  <si>
    <t xml:space="preserve">/118</t>
  </si>
  <si>
    <t xml:space="preserve">CPP NoExemp</t>
  </si>
  <si>
    <t xml:space="preserve">/120</t>
  </si>
  <si>
    <t xml:space="preserve">CPP</t>
  </si>
  <si>
    <t xml:space="preserve"> </t>
  </si>
  <si>
    <t xml:space="preserve">/119</t>
  </si>
  <si>
    <t xml:space="preserve">QPP NoExemp</t>
  </si>
  <si>
    <t xml:space="preserve">/121</t>
  </si>
  <si>
    <t xml:space="preserve">QPP</t>
  </si>
  <si>
    <t xml:space="preserve">/122</t>
  </si>
  <si>
    <t xml:space="preserve">Y</t>
  </si>
  <si>
    <t xml:space="preserve">PC84</t>
  </si>
  <si>
    <t xml:space="preserve">/223</t>
  </si>
  <si>
    <t xml:space="preserve">*</t>
  </si>
  <si>
    <t xml:space="preserve">Code</t>
  </si>
  <si>
    <t xml:space="preserve">Libellé</t>
  </si>
  <si>
    <t xml:space="preserve">Taux euHReka</t>
  </si>
  <si>
    <t xml:space="preserve">Formule</t>
  </si>
  <si>
    <t xml:space="preserve">Rubriques de PY</t>
  </si>
  <si>
    <t xml:space="preserve">Waggetype Class =01</t>
  </si>
  <si>
    <t xml:space="preserve">Modif char 06VL1</t>
  </si>
  <si>
    <t xml:space="preserve">Modif char 06VL2</t>
  </si>
  <si>
    <t xml:space="preserve">Modif char 06VL3</t>
  </si>
  <si>
    <t xml:space="preserve">Modif char 06VL4</t>
  </si>
  <si>
    <t xml:space="preserve">Modif char 06VL5</t>
  </si>
  <si>
    <t xml:space="preserve">Modif char 06VL6</t>
  </si>
  <si>
    <t xml:space="preserve">Modif char 06VL7</t>
  </si>
  <si>
    <t xml:space="preserve">Taux horaire de base</t>
  </si>
  <si>
    <t xml:space="preserve">/001</t>
  </si>
  <si>
    <t xml:space="preserve">Salaire de Base / horaire mensuel du salarié</t>
  </si>
  <si>
    <t xml:space="preserve">overtim</t>
  </si>
  <si>
    <t xml:space="preserve">Primes de fonction</t>
  </si>
  <si>
    <t xml:space="preserve">CL01 -&gt; Value = 2</t>
  </si>
  <si>
    <t xml:space="preserve">1</t>
  </si>
  <si>
    <t xml:space="preserve">4</t>
  </si>
  <si>
    <t xml:space="preserve">Taux horaire de base + PA</t>
  </si>
  <si>
    <t xml:space="preserve">/003</t>
  </si>
  <si>
    <t xml:space="preserve">(Salaire de Base + Prime Ancienneté) / horaire mensuel du salarié</t>
  </si>
  <si>
    <t xml:space="preserve">2</t>
  </si>
  <si>
    <t xml:space="preserve">5</t>
  </si>
  <si>
    <t xml:space="preserve">TH3</t>
  </si>
  <si>
    <t xml:space="preserve">Taux horaire de base + PA + Primes</t>
  </si>
  <si>
    <t xml:space="preserve">/004</t>
  </si>
  <si>
    <t xml:space="preserve">(Salaire de Base + Prime Ancienneté + Prime de Fonction)  / horaire mensuel du salarié</t>
  </si>
  <si>
    <t xml:space="preserve">3</t>
  </si>
  <si>
    <t xml:space="preserve">6</t>
  </si>
  <si>
    <t xml:space="preserve">13</t>
  </si>
  <si>
    <t xml:space="preserve">TJ1</t>
  </si>
  <si>
    <t xml:space="preserve">Taux jour ouvré Base </t>
  </si>
  <si>
    <t xml:space="preserve">/074</t>
  </si>
  <si>
    <t xml:space="preserve">Salaire de Base / Nb de jours ouvrés</t>
  </si>
  <si>
    <t xml:space="preserve">7</t>
  </si>
  <si>
    <t xml:space="preserve">TJ2</t>
  </si>
  <si>
    <t xml:space="preserve">Taux jour fixe 30 jours Base</t>
  </si>
  <si>
    <t xml:space="preserve">/075</t>
  </si>
  <si>
    <t xml:space="preserve">Salaire de Base / Constante 30</t>
  </si>
  <si>
    <t xml:space="preserve">8</t>
  </si>
  <si>
    <t xml:space="preserve">NS</t>
  </si>
  <si>
    <t xml:space="preserve">TJ3</t>
  </si>
  <si>
    <t xml:space="preserve">Taux jour fixe 24 jours Base</t>
  </si>
  <si>
    <t xml:space="preserve">/076</t>
  </si>
  <si>
    <t xml:space="preserve">Salaire de Base / Constante 24</t>
  </si>
  <si>
    <t xml:space="preserve">9</t>
  </si>
  <si>
    <t xml:space="preserve">TJ4</t>
  </si>
  <si>
    <t xml:space="preserve">Taux jour 21,66 jours Base</t>
  </si>
  <si>
    <t xml:space="preserve">/077</t>
  </si>
  <si>
    <t xml:space="preserve">Salaire de Base / Constante 21,66</t>
  </si>
  <si>
    <t xml:space="preserve">10</t>
  </si>
  <si>
    <t xml:space="preserve">TJ5</t>
  </si>
  <si>
    <t xml:space="preserve">Taux jour calendaire Base</t>
  </si>
  <si>
    <t xml:space="preserve">/078</t>
  </si>
  <si>
    <t xml:space="preserve">Salaire de Base / Nombre de jours calendaires</t>
  </si>
  <si>
    <t xml:space="preserve">Taux jour fixe 22 jours Base </t>
  </si>
  <si>
    <t xml:space="preserve">/079</t>
  </si>
  <si>
    <t xml:space="preserve">Salaire de Base / Constante 22</t>
  </si>
  <si>
    <t xml:space="preserve">TJ7</t>
  </si>
  <si>
    <t xml:space="preserve">Taux jour ouvré Base + PA </t>
  </si>
  <si>
    <t xml:space="preserve">/084</t>
  </si>
  <si>
    <t xml:space="preserve">(Salaire de Base + Prime Ancienneté) / Nb de jours ouvrés</t>
  </si>
  <si>
    <t xml:space="preserve">TJ8</t>
  </si>
  <si>
    <t xml:space="preserve">Taux jour fixe 30 jours Base + PA </t>
  </si>
  <si>
    <t xml:space="preserve">/085</t>
  </si>
  <si>
    <t xml:space="preserve">(Salaire de Base + Prime Ancienneté) / Constante 30</t>
  </si>
  <si>
    <t xml:space="preserve">14</t>
  </si>
  <si>
    <t xml:space="preserve">TJ9</t>
  </si>
  <si>
    <t xml:space="preserve">Taux jour fixe 24 jours Base + PA </t>
  </si>
  <si>
    <t xml:space="preserve">/086</t>
  </si>
  <si>
    <t xml:space="preserve">(Salaire de Base + Prime Ancienneté) / Constante 24</t>
  </si>
  <si>
    <t xml:space="preserve">15</t>
  </si>
  <si>
    <t xml:space="preserve">Taux jour 21,66 jours Base + PA </t>
  </si>
  <si>
    <t xml:space="preserve">/087</t>
  </si>
  <si>
    <t xml:space="preserve">(Salaire de Base + Prime Ancienneté) / Constante 21,66</t>
  </si>
  <si>
    <t xml:space="preserve">16</t>
  </si>
  <si>
    <t xml:space="preserve">TJ11</t>
  </si>
  <si>
    <t xml:space="preserve">Taux jour calendaire Base + PA </t>
  </si>
  <si>
    <t xml:space="preserve">/088</t>
  </si>
  <si>
    <t xml:space="preserve">(Salaire de Base + Prime Ancienneté) / Nombre de jours calendaires</t>
  </si>
  <si>
    <t xml:space="preserve">17</t>
  </si>
  <si>
    <t xml:space="preserve">TJ12</t>
  </si>
  <si>
    <t xml:space="preserve">Taux jour fixe 22 jours Base + PA </t>
  </si>
  <si>
    <t xml:space="preserve">/089</t>
  </si>
  <si>
    <t xml:space="preserve">(Salaire de Base + Prime Ancienneté) / Constante 22</t>
  </si>
  <si>
    <t xml:space="preserve">18</t>
  </si>
  <si>
    <t xml:space="preserve">TJ13</t>
  </si>
  <si>
    <t xml:space="preserve">Taux jour ouvré Base + PA + Primes</t>
  </si>
  <si>
    <t xml:space="preserve">/002</t>
  </si>
  <si>
    <t xml:space="preserve">(Salaire de Base + Prime Ancienneté + Prime de Fonction) / Nb de jours ouvrés</t>
  </si>
  <si>
    <t xml:space="preserve">TJ14</t>
  </si>
  <si>
    <t xml:space="preserve">Taux jour fixe 30 jours Base + PA + Primes</t>
  </si>
  <si>
    <t xml:space="preserve">/095</t>
  </si>
  <si>
    <t xml:space="preserve">(Salaire de Base + Prime Ancienneté + Prime de Fonction) / Constante 30</t>
  </si>
  <si>
    <t xml:space="preserve">TJ15</t>
  </si>
  <si>
    <t xml:space="preserve">Taux jour fixe 24 jours Base + PA + Primes</t>
  </si>
  <si>
    <t xml:space="preserve">/096</t>
  </si>
  <si>
    <t xml:space="preserve">(Salaire de Base + Prime Ancienneté + Prime de Fonction) / Constante 24</t>
  </si>
  <si>
    <t xml:space="preserve">TJ16</t>
  </si>
  <si>
    <t xml:space="preserve">Taux jour 21,66 jours Base + PA + Primes</t>
  </si>
  <si>
    <t xml:space="preserve">/097</t>
  </si>
  <si>
    <t xml:space="preserve">(Salaire de Base + Prime Ancienneté + Prime de Fonction) / Constante 21,66</t>
  </si>
  <si>
    <t xml:space="preserve">Taux jour calendaire Base + PA + Primes</t>
  </si>
  <si>
    <t xml:space="preserve">/098</t>
  </si>
  <si>
    <t xml:space="preserve">(Salaire de Base + Prime Ancienneté + Prime de Fonction) / Nombre de jours calendaires</t>
  </si>
  <si>
    <t xml:space="preserve">TJ18</t>
  </si>
  <si>
    <t xml:space="preserve">Taux jour fixe 22 jours Base + PA + Primes</t>
  </si>
  <si>
    <t xml:space="preserve">/099</t>
  </si>
  <si>
    <t xml:space="preserve">(Salaire de Base + Prime Ancienneté + Prime de Fonction) / Constante 22</t>
  </si>
  <si>
    <t xml:space="preserve">Entrées spécifiques</t>
  </si>
  <si>
    <t xml:space="preserve">Désignation</t>
  </si>
  <si>
    <t xml:space="preserve">AI</t>
  </si>
  <si>
    <t xml:space="preserve">AJ</t>
  </si>
  <si>
    <t xml:space="preserve">Accident de trajet</t>
  </si>
  <si>
    <t xml:space="preserve">AN</t>
  </si>
  <si>
    <t xml:space="preserve">Absence aut. non pay</t>
  </si>
  <si>
    <t xml:space="preserve">AP</t>
  </si>
  <si>
    <t xml:space="preserve">Absence aut. payée</t>
  </si>
  <si>
    <t xml:space="preserve">AT</t>
  </si>
  <si>
    <t xml:space="preserve">CA</t>
  </si>
  <si>
    <t xml:space="preserve">CC</t>
  </si>
  <si>
    <t xml:space="preserve">Congé création d’ent</t>
  </si>
  <si>
    <t xml:space="preserve">CH</t>
  </si>
  <si>
    <t xml:space="preserve">CP</t>
  </si>
  <si>
    <t xml:space="preserve">Congé Payé</t>
  </si>
  <si>
    <t xml:space="preserve">CS</t>
  </si>
  <si>
    <t xml:space="preserve">CT</t>
  </si>
  <si>
    <t xml:space="preserve">DH</t>
  </si>
  <si>
    <t xml:space="preserve">DIF hors tps trav.</t>
  </si>
  <si>
    <t xml:space="preserve">DT</t>
  </si>
  <si>
    <t xml:space="preserve">DIF dans tps trav.</t>
  </si>
  <si>
    <t xml:space="preserve">EF</t>
  </si>
  <si>
    <t xml:space="preserve">Congés évén. famil.</t>
  </si>
  <si>
    <t xml:space="preserve">GR</t>
  </si>
  <si>
    <t xml:space="preserve">Grève</t>
  </si>
  <si>
    <t xml:space="preserve">MA</t>
  </si>
  <si>
    <t xml:space="preserve">ME</t>
  </si>
  <si>
    <t xml:space="preserve">Maternité Pré-natale</t>
  </si>
  <si>
    <t xml:space="preserve">MO</t>
  </si>
  <si>
    <t xml:space="preserve">Maternité Post-nat.</t>
  </si>
  <si>
    <t xml:space="preserve">MP</t>
  </si>
  <si>
    <t xml:space="preserve">Mal prof</t>
  </si>
  <si>
    <t xml:space="preserve">MT</t>
  </si>
  <si>
    <t xml:space="preserve">PA</t>
  </si>
  <si>
    <t xml:space="preserve">PN</t>
  </si>
  <si>
    <t xml:space="preserve">Préavis non eff. pay</t>
  </si>
  <si>
    <t xml:space="preserve">PP</t>
  </si>
  <si>
    <t xml:space="preserve">Préavis effect. payé</t>
  </si>
  <si>
    <t xml:space="preserve">PR</t>
  </si>
  <si>
    <t xml:space="preserve">RC</t>
  </si>
  <si>
    <t xml:space="preserve">Repos compens. légal</t>
  </si>
  <si>
    <t xml:space="preserve">RE</t>
  </si>
  <si>
    <t xml:space="preserve">Recherche d’emploi</t>
  </si>
  <si>
    <t xml:space="preserve">RT</t>
  </si>
  <si>
    <t xml:space="preserve">SD</t>
  </si>
  <si>
    <t xml:space="preserve">SS</t>
  </si>
  <si>
    <t xml:space="preserve">TT</t>
  </si>
  <si>
    <t xml:space="preserve">Mi-temps thérapeutiq</t>
  </si>
  <si>
    <t xml:space="preserve">Absences/Présences Catalogue</t>
  </si>
  <si>
    <t xml:space="preserve">Le but de cet Excel est de documenter toutes les absences/présences nécessaire pour couvrir vos besoins.
</t>
  </si>
  <si>
    <t xml:space="preserve">Categorie</t>
  </si>
  <si>
    <t xml:space="preserve">Titre colonne</t>
  </si>
  <si>
    <t xml:space="preserve">Description de chaque colonne</t>
  </si>
  <si>
    <t xml:space="preserve">C'est le code utilisé dans euHReka. 4 caractères max.</t>
  </si>
  <si>
    <t xml:space="preserve">Description de l'absence. 25 caractères max.</t>
  </si>
  <si>
    <t xml:space="preserve">Code rubrique euHReka. 4 caractères max.</t>
  </si>
  <si>
    <t xml:space="preserve">Description rubrique euHReka. 25 caractères max.</t>
  </si>
  <si>
    <t xml:space="preserve">Il existe 5 unités de temps pour mesurer la durée d'une absence :
- Jours calendrier
- Jours d'absence
- Heures d'absence
- Jours de paie
- Heures de paie</t>
  </si>
  <si>
    <t xml:space="preserve">Rubrique Retenue euHReka</t>
  </si>
  <si>
    <t xml:space="preserve">Libellé Rubrique Retenue</t>
  </si>
  <si>
    <t xml:space="preserve">Affichage du nombre d'heure/jour sur le bulletin</t>
  </si>
  <si>
    <t xml:space="preserve">Affichage du montant sur le bulletin</t>
  </si>
  <si>
    <t xml:space="preserve">L'absence est valorisée en heure ou en Jour</t>
  </si>
  <si>
    <t xml:space="preserve">Taux de valorisation (voir Onglet Taux de valorisation).</t>
  </si>
  <si>
    <t xml:space="preserve">Se reporter à la section 5.5.3 du quesionnaire de paie</t>
  </si>
  <si>
    <t xml:space="preserve">Pénalisant Prime de Vacance</t>
  </si>
  <si>
    <t xml:space="preserve">Se reporter à la section 5.6.4 du quesionnaire de paie</t>
  </si>
  <si>
    <t xml:space="preserve">Pilotage Post-Paie</t>
  </si>
  <si>
    <t xml:space="preserve">Affichage Bulletin</t>
  </si>
  <si>
    <t xml:space="preserve">Affichage de l'absence sur le bulletin de salaire du salarié en dessous de la partie Brute</t>
  </si>
  <si>
    <t xml:space="preserve">Affichage Calendrier Bulletin</t>
  </si>
  <si>
    <t xml:space="preserve">Affichage du code d'absence dans le calendrier du bulletin de salaire. Pour plus d'information, se reporter à la section 10.1.1.3 du quesitonnaire de paie</t>
  </si>
  <si>
    <t xml:space="preserve">Posting FI</t>
  </si>
  <si>
    <t xml:space="preserve">Les rubriques de paiement/retenue doivent être postées en Finance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</si>
</sst>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"/>
    <numFmt numFmtId="166" formatCode="0\ %"/>
    <numFmt numFmtId="167" formatCode="@"/>
    <numFmt numFmtId="168" formatCode="&quot;On&quot;;&quot;On&quot;;&quot;Off&quot;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20"/>
      <color rgb="FF000000"/>
      <name val="Arial"/>
      <family val="2"/>
    </font>
    <font>
      <b val="true"/>
      <sz val="20"/>
      <color rgb="FF660066"/>
      <name val="Arial"/>
      <family val="2"/>
    </font>
    <font>
      <b val="true"/>
      <sz val="20"/>
      <color rgb="FF333399"/>
      <name val="Arial"/>
      <family val="2"/>
    </font>
    <font>
      <b val="true"/>
      <sz val="10"/>
      <color rgb="FFFFFFFF"/>
      <name val="Arial"/>
      <family val="2"/>
    </font>
    <font>
      <b val="true"/>
      <sz val="9"/>
      <color rgb="FFFFFFFF"/>
      <name val="Arial"/>
      <family val="2"/>
    </font>
    <font>
      <b val="true"/>
      <sz val="9"/>
      <color rgb="FF000000"/>
      <name val="Arial"/>
      <family val="2"/>
    </font>
    <font>
      <sz val="9"/>
      <name val="Arial"/>
      <family val="2"/>
    </font>
    <font>
      <sz val="10"/>
      <color rgb="FFFFFFFF"/>
      <name val="Arial"/>
      <family val="2"/>
    </font>
    <font>
      <sz val="14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660066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 val="true"/>
      <sz val="10"/>
      <name val="Arial"/>
      <family val="2"/>
    </font>
    <font>
      <strike val="true"/>
      <sz val="10"/>
      <color rgb="FFFFFFFF"/>
      <name val="Arial"/>
      <family val="2"/>
    </font>
    <font>
      <strike val="true"/>
      <sz val="14"/>
      <name val="Arial"/>
      <family val="2"/>
    </font>
    <font>
      <strike val="true"/>
      <sz val="10"/>
      <color rgb="FF000000"/>
      <name val="Arial"/>
      <family val="2"/>
    </font>
    <font>
      <strike val="true"/>
      <sz val="10"/>
      <name val="Arial"/>
      <family val="2"/>
    </font>
    <font>
      <strike val="true"/>
      <sz val="10"/>
      <color rgb="FFFF0000"/>
      <name val="Arial"/>
      <family val="2"/>
    </font>
    <font>
      <b val="true"/>
      <sz val="14"/>
      <name val="Arial"/>
      <family val="2"/>
    </font>
    <font>
      <b val="true"/>
      <sz val="10"/>
      <color rgb="FF000000"/>
      <name val="Arial"/>
      <family val="2"/>
    </font>
    <font>
      <b val="true"/>
      <strike val="true"/>
      <sz val="10"/>
      <name val="Arial"/>
      <family val="2"/>
    </font>
    <font>
      <sz val="26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11"/>
      <color rgb="FFFFFFFF"/>
      <name val="Calibri"/>
      <family val="2"/>
    </font>
    <font>
      <b val="true"/>
      <sz val="18"/>
      <name val="Arial"/>
      <family val="2"/>
    </font>
    <font>
      <b val="true"/>
      <sz val="20"/>
      <color rgb="FF800080"/>
      <name val="Arial"/>
      <family val="2"/>
    </font>
    <font>
      <b val="true"/>
      <i val="true"/>
      <sz val="10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2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60066"/>
        <bgColor rgb="FF800080"/>
      </patternFill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993366"/>
        <bgColor rgb="FF993366"/>
      </patternFill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00080"/>
        <bgColor rgb="FF80008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4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/>
      <diagonal/>
    </border>
    <border diagonalUp="false" diagonalDown="false">
      <left style="thick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ck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 diagonalUp="false" diagonalDown="false">
      <left/>
      <right/>
      <top style="thick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ck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660066"/>
      </left>
      <right style="thick">
        <color rgb="FFFFFFFF"/>
      </right>
      <top style="thin">
        <color rgb="FF660066"/>
      </top>
      <bottom style="medium">
        <color rgb="FF660066"/>
      </bottom>
      <diagonal/>
    </border>
    <border diagonalUp="false" diagonalDown="false"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/>
      <right/>
      <top style="thin">
        <color rgb="FFFFFFFF"/>
      </top>
      <bottom style="thick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>
        <color rgb="FF660066"/>
      </left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9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2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2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2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4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1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4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8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4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 10" xfId="20"/>
  </cellStyles>
  <dxfs count="10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00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9CC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653760</xdr:colOff>
      <xdr:row>1</xdr:row>
      <xdr:rowOff>0</xdr:rowOff>
    </xdr:from>
    <xdr:to>
      <xdr:col>1</xdr:col>
      <xdr:colOff>2526120</xdr:colOff>
      <xdr:row>4</xdr:row>
      <xdr:rowOff>161280</xdr:rowOff>
    </xdr:to>
    <xdr:pic>
      <xdr:nvPicPr>
        <xdr:cNvPr id="0" name="Picture 4" descr=""/>
        <xdr:cNvPicPr/>
      </xdr:nvPicPr>
      <xdr:blipFill>
        <a:blip r:embed="rId1"/>
        <a:stretch/>
      </xdr:blipFill>
      <xdr:spPr>
        <a:xfrm>
          <a:off x="653760" y="162000"/>
          <a:ext cx="2928240" cy="80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9360</xdr:rowOff>
    </xdr:from>
    <xdr:to>
      <xdr:col>19</xdr:col>
      <xdr:colOff>2646720</xdr:colOff>
      <xdr:row>4</xdr:row>
      <xdr:rowOff>142200</xdr:rowOff>
    </xdr:to>
    <xdr:pic>
      <xdr:nvPicPr>
        <xdr:cNvPr id="1" name="Picture 5" descr=""/>
        <xdr:cNvPicPr/>
      </xdr:nvPicPr>
      <xdr:blipFill>
        <a:blip r:embed="rId2"/>
        <a:stretch/>
      </xdr:blipFill>
      <xdr:spPr>
        <a:xfrm>
          <a:off x="22197600" y="171360"/>
          <a:ext cx="2646720" cy="780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9360</xdr:rowOff>
    </xdr:from>
    <xdr:to>
      <xdr:col>2</xdr:col>
      <xdr:colOff>380520</xdr:colOff>
      <xdr:row>6</xdr:row>
      <xdr:rowOff>304560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693360" y="171360"/>
          <a:ext cx="1788840" cy="110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874440</xdr:colOff>
      <xdr:row>6</xdr:row>
      <xdr:rowOff>27360</xdr:rowOff>
    </xdr:to>
    <xdr:pic>
      <xdr:nvPicPr>
        <xdr:cNvPr id="3" name="Picture 5" descr=""/>
        <xdr:cNvPicPr/>
      </xdr:nvPicPr>
      <xdr:blipFill>
        <a:blip r:embed="rId2"/>
        <a:stretch/>
      </xdr:blipFill>
      <xdr:spPr>
        <a:xfrm>
          <a:off x="9449280" y="324000"/>
          <a:ext cx="874440" cy="67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V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0625" defaultRowHeight="12.75" zeroHeight="false" outlineLevelRow="1" outlineLevelCol="1"/>
  <cols>
    <col collapsed="false" customWidth="true" hidden="false" outlineLevel="0" max="1" min="1" style="1" width="14.98"/>
    <col collapsed="false" customWidth="true" hidden="false" outlineLevel="0" max="2" min="2" style="2" width="35.84"/>
    <col collapsed="false" customWidth="true" hidden="false" outlineLevel="0" max="3" min="3" style="2" width="7.84"/>
    <col collapsed="false" customWidth="true" hidden="false" outlineLevel="0" max="4" min="4" style="1" width="10.7"/>
    <col collapsed="false" customWidth="true" hidden="false" outlineLevel="0" max="5" min="5" style="2" width="30.12"/>
    <col collapsed="false" customWidth="true" hidden="false" outlineLevel="0" max="6" min="6" style="2" width="14.13"/>
    <col collapsed="false" customWidth="true" hidden="false" outlineLevel="0" max="8" min="8" style="0" width="25.7"/>
    <col collapsed="false" customWidth="true" hidden="false" outlineLevel="0" max="9" min="9" style="0" width="14.4"/>
    <col collapsed="false" customWidth="true" hidden="false" outlineLevel="0" max="10" min="10" style="1" width="8.98"/>
    <col collapsed="false" customWidth="true" hidden="false" outlineLevel="0" max="11" min="11" style="1" width="13.55"/>
    <col collapsed="false" customWidth="true" hidden="false" outlineLevel="0" max="12" min="12" style="2" width="13.55"/>
    <col collapsed="false" customWidth="true" hidden="false" outlineLevel="0" max="13" min="13" style="2" width="45.84"/>
    <col collapsed="false" customWidth="true" hidden="false" outlineLevel="0" max="18" min="14" style="2" width="11.27"/>
    <col collapsed="false" customWidth="true" hidden="false" outlineLevel="0" max="19" min="19" style="2" width="11.55"/>
    <col collapsed="false" customWidth="true" hidden="false" outlineLevel="0" max="20" min="20" style="1" width="37.55"/>
    <col collapsed="false" customWidth="true" hidden="false" outlineLevel="0" max="21" min="21" style="1" width="55.27"/>
    <col collapsed="false" customWidth="true" hidden="false" outlineLevel="1" max="22" min="22" style="2" width="11.12"/>
    <col collapsed="false" customWidth="true" hidden="false" outlineLevel="1" max="23" min="23" style="2" width="9.55"/>
    <col collapsed="false" customWidth="true" hidden="false" outlineLevel="1" max="24" min="24" style="2" width="9.13"/>
    <col collapsed="false" customWidth="true" hidden="false" outlineLevel="1" max="25" min="25" style="2" width="8.98"/>
    <col collapsed="false" customWidth="true" hidden="false" outlineLevel="0" max="26" min="26" style="1" width="4.98"/>
    <col collapsed="false" customWidth="true" hidden="false" outlineLevel="0" max="27" min="27" style="3" width="1.27"/>
    <col collapsed="false" customWidth="true" hidden="false" outlineLevel="0" max="28" min="28" style="2" width="4.55"/>
    <col collapsed="false" customWidth="true" hidden="false" outlineLevel="0" max="29" min="29" style="2" width="10.55"/>
    <col collapsed="false" customWidth="true" hidden="false" outlineLevel="0" max="30" min="30" style="2" width="5.4"/>
    <col collapsed="false" customWidth="false" hidden="false" outlineLevel="0" max="31" min="31" style="2" width="11.4"/>
    <col collapsed="false" customWidth="true" hidden="false" outlineLevel="0" max="32" min="32" style="3" width="1.4"/>
    <col collapsed="false" customWidth="true" hidden="false" outlineLevel="0" max="33" min="33" style="2" width="3.69"/>
    <col collapsed="false" customWidth="true" hidden="false" outlineLevel="0" max="34" min="34" style="4" width="3.69"/>
    <col collapsed="false" customWidth="true" hidden="false" outlineLevel="0" max="43" min="35" style="2" width="3.69"/>
    <col collapsed="false" customWidth="true" hidden="false" outlineLevel="0" max="45" min="44" style="4" width="3.69"/>
    <col collapsed="false" customWidth="true" hidden="false" outlineLevel="0" max="53" min="46" style="2" width="3.69"/>
    <col collapsed="false" customWidth="true" hidden="false" outlineLevel="0" max="54" min="54" style="4" width="3.69"/>
    <col collapsed="false" customWidth="true" hidden="false" outlineLevel="0" max="55" min="55" style="2" width="3.69"/>
    <col collapsed="false" customWidth="true" hidden="false" outlineLevel="0" max="56" min="56" style="5" width="33.27"/>
    <col collapsed="false" customWidth="false" hidden="false" outlineLevel="0" max="257" min="57" style="2" width="11.4"/>
  </cols>
  <sheetData>
    <row r="1" customFormat="false" ht="12.75" hidden="false" customHeight="true" outlineLevel="0" collapsed="false">
      <c r="A1" s="6"/>
      <c r="B1" s="6"/>
      <c r="C1" s="6"/>
      <c r="D1" s="6"/>
      <c r="E1" s="6"/>
      <c r="F1" s="6"/>
      <c r="J1" s="7"/>
      <c r="K1" s="7"/>
      <c r="L1" s="8"/>
      <c r="M1" s="8"/>
      <c r="N1" s="8"/>
      <c r="O1" s="8"/>
      <c r="P1" s="8"/>
      <c r="Q1" s="8"/>
      <c r="R1" s="8"/>
      <c r="S1" s="8"/>
      <c r="T1" s="7"/>
      <c r="U1" s="7"/>
      <c r="V1" s="8"/>
      <c r="W1" s="8"/>
      <c r="X1" s="8"/>
      <c r="Y1" s="8"/>
      <c r="Z1" s="8"/>
      <c r="AA1" s="9"/>
      <c r="AB1" s="8"/>
      <c r="AC1" s="8"/>
      <c r="AD1" s="8"/>
      <c r="AE1" s="8"/>
      <c r="AF1" s="9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1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2.75" hidden="false" customHeight="false" outlineLevel="0" collapsed="false">
      <c r="A2" s="0"/>
      <c r="B2" s="0"/>
      <c r="C2" s="0"/>
      <c r="D2" s="12"/>
      <c r="E2" s="0"/>
      <c r="F2" s="0"/>
      <c r="J2" s="12"/>
      <c r="K2" s="12"/>
      <c r="L2" s="0"/>
      <c r="M2" s="0"/>
      <c r="N2" s="0"/>
      <c r="O2" s="0"/>
      <c r="P2" s="0"/>
      <c r="Q2" s="0"/>
      <c r="R2" s="0"/>
      <c r="S2" s="0"/>
      <c r="T2" s="12"/>
      <c r="U2" s="12"/>
      <c r="V2" s="0"/>
      <c r="W2" s="0"/>
      <c r="X2" s="0"/>
      <c r="Y2" s="0"/>
      <c r="Z2" s="0"/>
      <c r="AA2" s="9"/>
      <c r="AB2" s="0"/>
      <c r="AC2" s="0"/>
      <c r="AD2" s="0"/>
      <c r="AE2" s="0"/>
      <c r="AF2" s="9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25.5" hidden="false" customHeight="true" outlineLevel="0" collapsed="false">
      <c r="A3" s="0"/>
      <c r="B3" s="0"/>
      <c r="C3" s="0"/>
      <c r="D3" s="12"/>
      <c r="E3" s="0"/>
      <c r="F3" s="0"/>
      <c r="G3" s="13" t="s">
        <v>0</v>
      </c>
      <c r="J3" s="12"/>
      <c r="K3" s="12"/>
      <c r="L3" s="0"/>
      <c r="N3" s="0"/>
      <c r="O3" s="0"/>
      <c r="P3" s="0"/>
      <c r="Q3" s="0"/>
      <c r="R3" s="0"/>
      <c r="S3" s="0"/>
      <c r="T3" s="12"/>
      <c r="U3" s="12"/>
      <c r="V3" s="0"/>
      <c r="W3" s="0"/>
      <c r="X3" s="0"/>
      <c r="Y3" s="0"/>
      <c r="Z3" s="0"/>
      <c r="AA3" s="9"/>
      <c r="AB3" s="0"/>
      <c r="AC3" s="0"/>
      <c r="AD3" s="0"/>
      <c r="AE3" s="0"/>
      <c r="AF3" s="9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2.75" hidden="false" customHeight="false" outlineLevel="0" collapsed="false">
      <c r="A4" s="0"/>
      <c r="B4" s="0"/>
      <c r="C4" s="0"/>
      <c r="D4" s="12"/>
      <c r="E4" s="0"/>
      <c r="F4" s="0"/>
      <c r="J4" s="12"/>
      <c r="K4" s="12"/>
      <c r="L4" s="0"/>
      <c r="M4" s="0"/>
      <c r="N4" s="0"/>
      <c r="O4" s="0"/>
      <c r="P4" s="0"/>
      <c r="Q4" s="0"/>
      <c r="R4" s="0"/>
      <c r="S4" s="0"/>
      <c r="T4" s="12"/>
      <c r="U4" s="12"/>
      <c r="V4" s="0"/>
      <c r="W4" s="0"/>
      <c r="X4" s="0"/>
      <c r="Y4" s="0"/>
      <c r="Z4" s="0"/>
      <c r="AA4" s="9"/>
      <c r="AB4" s="0"/>
      <c r="AC4" s="0"/>
      <c r="AD4" s="0"/>
      <c r="AE4" s="0"/>
      <c r="AF4" s="9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2.75" hidden="false" customHeight="true" outlineLevel="0" collapsed="false">
      <c r="A5" s="6"/>
      <c r="B5" s="6"/>
      <c r="C5" s="14"/>
      <c r="D5" s="15"/>
      <c r="E5" s="14"/>
      <c r="F5" s="1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9"/>
      <c r="AB5" s="10"/>
      <c r="AC5" s="10"/>
      <c r="AD5" s="10"/>
      <c r="AE5" s="10"/>
      <c r="AF5" s="9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1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s="21" customFormat="true" ht="36" hidden="false" customHeight="true" outlineLevel="0" collapsed="false">
      <c r="A6" s="16" t="s">
        <v>1</v>
      </c>
      <c r="B6" s="16"/>
      <c r="C6" s="17" t="s">
        <v>2</v>
      </c>
      <c r="D6" s="18" t="s">
        <v>3</v>
      </c>
      <c r="E6" s="18"/>
      <c r="F6" s="18"/>
      <c r="G6" s="18" t="s">
        <v>4</v>
      </c>
      <c r="H6" s="18"/>
      <c r="I6" s="18"/>
      <c r="J6" s="18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9"/>
      <c r="U6" s="19"/>
      <c r="V6" s="20" t="s">
        <v>6</v>
      </c>
      <c r="W6" s="20"/>
      <c r="X6" s="20"/>
      <c r="Y6" s="20"/>
    </row>
    <row r="7" s="33" customFormat="true" ht="48.75" hidden="false" customHeight="true" outlineLevel="0" collapsed="false">
      <c r="A7" s="22" t="s">
        <v>7</v>
      </c>
      <c r="B7" s="22" t="s">
        <v>8</v>
      </c>
      <c r="C7" s="23"/>
      <c r="D7" s="24" t="s">
        <v>9</v>
      </c>
      <c r="E7" s="25" t="s">
        <v>10</v>
      </c>
      <c r="F7" s="26" t="s">
        <v>11</v>
      </c>
      <c r="G7" s="27" t="s">
        <v>9</v>
      </c>
      <c r="H7" s="25" t="s">
        <v>10</v>
      </c>
      <c r="I7" s="28" t="s">
        <v>11</v>
      </c>
      <c r="J7" s="24" t="s">
        <v>12</v>
      </c>
      <c r="K7" s="25" t="s">
        <v>13</v>
      </c>
      <c r="L7" s="25" t="s">
        <v>11</v>
      </c>
      <c r="M7" s="25" t="s">
        <v>14</v>
      </c>
      <c r="N7" s="25" t="s">
        <v>15</v>
      </c>
      <c r="O7" s="25" t="s">
        <v>16</v>
      </c>
      <c r="P7" s="29" t="s">
        <v>17</v>
      </c>
      <c r="Q7" s="29" t="s">
        <v>18</v>
      </c>
      <c r="R7" s="29" t="s">
        <v>19</v>
      </c>
      <c r="S7" s="30" t="s">
        <v>20</v>
      </c>
      <c r="T7" s="31" t="s">
        <v>21</v>
      </c>
      <c r="U7" s="32" t="s">
        <v>22</v>
      </c>
      <c r="V7" s="27" t="s">
        <v>23</v>
      </c>
      <c r="W7" s="27" t="s">
        <v>24</v>
      </c>
      <c r="X7" s="27" t="s">
        <v>25</v>
      </c>
      <c r="Y7" s="27" t="s">
        <v>26</v>
      </c>
    </row>
    <row r="8" customFormat="false" ht="14.25" hidden="false" customHeight="true" outlineLevel="0" collapsed="false">
      <c r="A8" s="34" t="s">
        <v>27</v>
      </c>
      <c r="B8" s="35" t="s">
        <v>28</v>
      </c>
      <c r="C8" s="23"/>
      <c r="D8" s="36"/>
      <c r="E8" s="37"/>
      <c r="F8" s="38"/>
      <c r="G8" s="39"/>
      <c r="H8" s="37"/>
      <c r="I8" s="40"/>
      <c r="J8" s="36"/>
      <c r="K8" s="41"/>
      <c r="L8" s="37"/>
      <c r="M8" s="37"/>
      <c r="N8" s="37"/>
      <c r="O8" s="37"/>
      <c r="P8" s="37"/>
      <c r="Q8" s="37"/>
      <c r="R8" s="37"/>
      <c r="S8" s="38"/>
      <c r="T8" s="42"/>
      <c r="U8" s="43"/>
      <c r="V8" s="37"/>
      <c r="W8" s="37"/>
      <c r="X8" s="37"/>
      <c r="Y8" s="37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15.75" hidden="false" customHeight="true" outlineLevel="1" collapsed="false">
      <c r="A9" s="44" t="n">
        <v>100</v>
      </c>
      <c r="B9" s="45" t="s">
        <v>29</v>
      </c>
      <c r="C9" s="46" t="s">
        <v>30</v>
      </c>
      <c r="D9" s="47" t="n">
        <v>3750</v>
      </c>
      <c r="E9" s="48" t="s">
        <v>31</v>
      </c>
      <c r="F9" s="49" t="s">
        <v>32</v>
      </c>
      <c r="G9" s="50" t="n">
        <v>3500</v>
      </c>
      <c r="H9" s="48" t="s">
        <v>33</v>
      </c>
      <c r="I9" s="49" t="s">
        <v>32</v>
      </c>
      <c r="J9" s="51" t="s">
        <v>30</v>
      </c>
      <c r="K9" s="52" t="s">
        <v>30</v>
      </c>
      <c r="L9" s="48" t="s">
        <v>34</v>
      </c>
      <c r="M9" s="53" t="s">
        <v>35</v>
      </c>
      <c r="N9" s="54"/>
      <c r="O9" s="48" t="s">
        <v>36</v>
      </c>
      <c r="P9" s="52" t="s">
        <v>37</v>
      </c>
      <c r="Q9" s="52" t="s">
        <v>37</v>
      </c>
      <c r="R9" s="52" t="s">
        <v>37</v>
      </c>
      <c r="S9" s="55" t="s">
        <v>37</v>
      </c>
      <c r="T9" s="56" t="s">
        <v>38</v>
      </c>
      <c r="U9" s="57" t="s">
        <v>39</v>
      </c>
      <c r="V9" s="53" t="s">
        <v>40</v>
      </c>
      <c r="W9" s="53" t="s">
        <v>41</v>
      </c>
      <c r="X9" s="53" t="s">
        <v>42</v>
      </c>
      <c r="Y9" s="53" t="s">
        <v>42</v>
      </c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9.5" hidden="false" customHeight="true" outlineLevel="1" collapsed="false">
      <c r="A10" s="44" t="n">
        <v>110</v>
      </c>
      <c r="B10" s="45" t="s">
        <v>43</v>
      </c>
      <c r="C10" s="46" t="s">
        <v>30</v>
      </c>
      <c r="D10" s="47" t="n">
        <v>3760</v>
      </c>
      <c r="E10" s="48" t="s">
        <v>44</v>
      </c>
      <c r="F10" s="49" t="s">
        <v>32</v>
      </c>
      <c r="G10" s="50" t="n">
        <v>3510</v>
      </c>
      <c r="H10" s="48" t="s">
        <v>45</v>
      </c>
      <c r="I10" s="49" t="s">
        <v>32</v>
      </c>
      <c r="J10" s="51" t="s">
        <v>30</v>
      </c>
      <c r="K10" s="52" t="s">
        <v>30</v>
      </c>
      <c r="L10" s="48" t="s">
        <v>34</v>
      </c>
      <c r="M10" s="53" t="s">
        <v>35</v>
      </c>
      <c r="N10" s="54"/>
      <c r="O10" s="48" t="s">
        <v>36</v>
      </c>
      <c r="P10" s="52" t="s">
        <v>37</v>
      </c>
      <c r="Q10" s="52" t="s">
        <v>37</v>
      </c>
      <c r="R10" s="52" t="s">
        <v>37</v>
      </c>
      <c r="S10" s="55" t="s">
        <v>37</v>
      </c>
      <c r="T10" s="56" t="s">
        <v>46</v>
      </c>
      <c r="U10" s="57" t="s">
        <v>47</v>
      </c>
      <c r="V10" s="53" t="s">
        <v>48</v>
      </c>
      <c r="W10" s="53" t="s">
        <v>41</v>
      </c>
      <c r="X10" s="53" t="s">
        <v>42</v>
      </c>
      <c r="Y10" s="53" t="s">
        <v>42</v>
      </c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5" hidden="false" customHeight="true" outlineLevel="1" collapsed="false">
      <c r="A11" s="44" t="n">
        <v>120</v>
      </c>
      <c r="B11" s="45" t="s">
        <v>49</v>
      </c>
      <c r="C11" s="46" t="s">
        <v>30</v>
      </c>
      <c r="D11" s="47" t="n">
        <v>3870</v>
      </c>
      <c r="E11" s="48" t="s">
        <v>50</v>
      </c>
      <c r="F11" s="49" t="s">
        <v>32</v>
      </c>
      <c r="G11" s="50" t="n">
        <v>3630</v>
      </c>
      <c r="H11" s="48" t="s">
        <v>51</v>
      </c>
      <c r="I11" s="49" t="s">
        <v>32</v>
      </c>
      <c r="J11" s="51" t="s">
        <v>30</v>
      </c>
      <c r="K11" s="52" t="s">
        <v>30</v>
      </c>
      <c r="L11" s="48" t="s">
        <v>34</v>
      </c>
      <c r="M11" s="53" t="s">
        <v>35</v>
      </c>
      <c r="N11" s="54"/>
      <c r="O11" s="48" t="s">
        <v>36</v>
      </c>
      <c r="P11" s="52" t="s">
        <v>37</v>
      </c>
      <c r="Q11" s="52" t="s">
        <v>37</v>
      </c>
      <c r="R11" s="52" t="s">
        <v>37</v>
      </c>
      <c r="S11" s="55" t="s">
        <v>37</v>
      </c>
      <c r="T11" s="58" t="s">
        <v>52</v>
      </c>
      <c r="U11" s="57" t="s">
        <v>53</v>
      </c>
      <c r="V11" s="53" t="s">
        <v>54</v>
      </c>
      <c r="W11" s="53" t="s">
        <v>41</v>
      </c>
      <c r="X11" s="53" t="s">
        <v>42</v>
      </c>
      <c r="Y11" s="53" t="s">
        <v>42</v>
      </c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18.75" hidden="true" customHeight="true" outlineLevel="1" collapsed="false">
      <c r="A12" s="44" t="n">
        <v>130</v>
      </c>
      <c r="B12" s="45" t="s">
        <v>55</v>
      </c>
      <c r="C12" s="46" t="s">
        <v>37</v>
      </c>
      <c r="D12" s="50" t="n">
        <v>3790</v>
      </c>
      <c r="E12" s="48" t="s">
        <v>56</v>
      </c>
      <c r="F12" s="49" t="s">
        <v>32</v>
      </c>
      <c r="G12" s="50" t="n">
        <v>3540</v>
      </c>
      <c r="H12" s="48" t="s">
        <v>57</v>
      </c>
      <c r="I12" s="49" t="s">
        <v>32</v>
      </c>
      <c r="J12" s="51" t="s">
        <v>30</v>
      </c>
      <c r="K12" s="52" t="s">
        <v>30</v>
      </c>
      <c r="L12" s="48" t="s">
        <v>34</v>
      </c>
      <c r="M12" s="53" t="s">
        <v>35</v>
      </c>
      <c r="N12" s="54"/>
      <c r="O12" s="48" t="s">
        <v>58</v>
      </c>
      <c r="P12" s="52" t="s">
        <v>37</v>
      </c>
      <c r="Q12" s="52" t="s">
        <v>37</v>
      </c>
      <c r="R12" s="52" t="s">
        <v>37</v>
      </c>
      <c r="S12" s="55" t="s">
        <v>37</v>
      </c>
      <c r="T12" s="58"/>
      <c r="U12" s="59"/>
      <c r="V12" s="53" t="s">
        <v>59</v>
      </c>
      <c r="W12" s="53" t="s">
        <v>59</v>
      </c>
      <c r="X12" s="53" t="s">
        <v>60</v>
      </c>
      <c r="Y12" s="53" t="str">
        <f aca="false">VLOOKUP(O12,'Taux de valorisation'!A:O,9,FALSE())</f>
        <v>12</v>
      </c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9.5" hidden="false" customHeight="true" outlineLevel="1" collapsed="false">
      <c r="A13" s="44" t="n">
        <v>140</v>
      </c>
      <c r="B13" s="45" t="s">
        <v>61</v>
      </c>
      <c r="C13" s="46" t="s">
        <v>30</v>
      </c>
      <c r="D13" s="47" t="n">
        <v>3770</v>
      </c>
      <c r="E13" s="48" t="s">
        <v>62</v>
      </c>
      <c r="F13" s="49" t="s">
        <v>32</v>
      </c>
      <c r="G13" s="50" t="n">
        <v>3520</v>
      </c>
      <c r="H13" s="48" t="s">
        <v>63</v>
      </c>
      <c r="I13" s="49" t="s">
        <v>32</v>
      </c>
      <c r="J13" s="51" t="s">
        <v>30</v>
      </c>
      <c r="K13" s="52" t="s">
        <v>30</v>
      </c>
      <c r="L13" s="48" t="s">
        <v>34</v>
      </c>
      <c r="M13" s="53" t="s">
        <v>35</v>
      </c>
      <c r="N13" s="54"/>
      <c r="O13" s="48" t="s">
        <v>36</v>
      </c>
      <c r="P13" s="52" t="s">
        <v>37</v>
      </c>
      <c r="Q13" s="52" t="s">
        <v>37</v>
      </c>
      <c r="R13" s="52" t="s">
        <v>37</v>
      </c>
      <c r="S13" s="55" t="s">
        <v>37</v>
      </c>
      <c r="T13" s="58"/>
      <c r="U13" s="59" t="s">
        <v>64</v>
      </c>
      <c r="V13" s="53" t="s">
        <v>59</v>
      </c>
      <c r="W13" s="53" t="s">
        <v>59</v>
      </c>
      <c r="X13" s="53" t="s">
        <v>60</v>
      </c>
      <c r="Y13" s="53" t="str">
        <f aca="false">VLOOKUP(O13,'Taux de valorisation'!A:O,9,FALSE())</f>
        <v>16</v>
      </c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20.25" hidden="true" customHeight="true" outlineLevel="1" collapsed="false">
      <c r="A14" s="44" t="n">
        <v>150</v>
      </c>
      <c r="B14" s="45" t="s">
        <v>65</v>
      </c>
      <c r="C14" s="46" t="s">
        <v>37</v>
      </c>
      <c r="D14" s="47" t="n">
        <v>3780</v>
      </c>
      <c r="E14" s="48" t="s">
        <v>66</v>
      </c>
      <c r="F14" s="49" t="s">
        <v>32</v>
      </c>
      <c r="G14" s="50" t="n">
        <v>3530</v>
      </c>
      <c r="H14" s="48" t="s">
        <v>67</v>
      </c>
      <c r="I14" s="49" t="s">
        <v>32</v>
      </c>
      <c r="J14" s="51" t="s">
        <v>30</v>
      </c>
      <c r="K14" s="52" t="s">
        <v>30</v>
      </c>
      <c r="L14" s="48" t="s">
        <v>34</v>
      </c>
      <c r="M14" s="53" t="s">
        <v>35</v>
      </c>
      <c r="N14" s="54"/>
      <c r="O14" s="48" t="s">
        <v>58</v>
      </c>
      <c r="P14" s="52" t="s">
        <v>37</v>
      </c>
      <c r="Q14" s="52" t="s">
        <v>37</v>
      </c>
      <c r="R14" s="52" t="s">
        <v>37</v>
      </c>
      <c r="S14" s="55" t="s">
        <v>37</v>
      </c>
      <c r="T14" s="58"/>
      <c r="U14" s="59"/>
      <c r="V14" s="53" t="s">
        <v>59</v>
      </c>
      <c r="W14" s="53" t="s">
        <v>59</v>
      </c>
      <c r="X14" s="53" t="s">
        <v>60</v>
      </c>
      <c r="Y14" s="53" t="str">
        <f aca="false">VLOOKUP(O14,'Taux de valorisation'!A:O,9,FALSE())</f>
        <v>12</v>
      </c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8.75" hidden="true" customHeight="true" outlineLevel="1" collapsed="false">
      <c r="A15" s="44" t="n">
        <v>160</v>
      </c>
      <c r="B15" s="45" t="s">
        <v>68</v>
      </c>
      <c r="C15" s="46" t="s">
        <v>37</v>
      </c>
      <c r="D15" s="47" t="n">
        <v>3930</v>
      </c>
      <c r="E15" s="48" t="s">
        <v>69</v>
      </c>
      <c r="F15" s="49" t="s">
        <v>32</v>
      </c>
      <c r="G15" s="50" t="n">
        <v>3690</v>
      </c>
      <c r="H15" s="48" t="s">
        <v>70</v>
      </c>
      <c r="I15" s="49" t="s">
        <v>32</v>
      </c>
      <c r="J15" s="51" t="s">
        <v>37</v>
      </c>
      <c r="K15" s="52" t="s">
        <v>37</v>
      </c>
      <c r="L15" s="48"/>
      <c r="M15" s="53" t="s">
        <v>35</v>
      </c>
      <c r="N15" s="54"/>
      <c r="O15" s="48"/>
      <c r="P15" s="52" t="s">
        <v>37</v>
      </c>
      <c r="Q15" s="52" t="s">
        <v>37</v>
      </c>
      <c r="R15" s="52" t="s">
        <v>37</v>
      </c>
      <c r="S15" s="55" t="s">
        <v>37</v>
      </c>
      <c r="T15" s="58"/>
      <c r="U15" s="59"/>
      <c r="V15" s="53" t="s">
        <v>59</v>
      </c>
      <c r="W15" s="53" t="s">
        <v>59</v>
      </c>
      <c r="X15" s="53" t="s">
        <v>60</v>
      </c>
      <c r="Y15" s="53" t="e">
        <f aca="false">VLOOKUP(O15,'Taux de valorisation'!A:O,9,FALSE())</f>
        <v>#N/A</v>
      </c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3.5" hidden="false" customHeight="true" outlineLevel="1" collapsed="false">
      <c r="A16" s="60" t="s">
        <v>71</v>
      </c>
      <c r="B16" s="60"/>
      <c r="C16" s="61"/>
      <c r="D16" s="62"/>
      <c r="E16" s="63"/>
      <c r="F16" s="64"/>
      <c r="G16" s="65"/>
      <c r="H16" s="63"/>
      <c r="I16" s="66"/>
      <c r="J16" s="62"/>
      <c r="K16" s="67"/>
      <c r="L16" s="67"/>
      <c r="M16" s="68"/>
      <c r="N16" s="67"/>
      <c r="O16" s="67"/>
      <c r="P16" s="67"/>
      <c r="Q16" s="67"/>
      <c r="R16" s="67"/>
      <c r="S16" s="69"/>
      <c r="T16" s="58"/>
      <c r="U16" s="59"/>
      <c r="V16" s="68"/>
      <c r="W16" s="68"/>
      <c r="X16" s="68"/>
      <c r="Y16" s="68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8" hidden="false" customHeight="false" outlineLevel="1" collapsed="false">
      <c r="A17" s="70" t="n">
        <v>161</v>
      </c>
      <c r="B17" s="71" t="s">
        <v>72</v>
      </c>
      <c r="C17" s="46" t="s">
        <v>30</v>
      </c>
      <c r="D17" s="47" t="n">
        <v>3931</v>
      </c>
      <c r="E17" s="48" t="s">
        <v>73</v>
      </c>
      <c r="F17" s="49" t="s">
        <v>32</v>
      </c>
      <c r="G17" s="50" t="n">
        <v>3691</v>
      </c>
      <c r="H17" s="48" t="s">
        <v>74</v>
      </c>
      <c r="I17" s="49" t="s">
        <v>32</v>
      </c>
      <c r="J17" s="51" t="s">
        <v>30</v>
      </c>
      <c r="K17" s="52" t="s">
        <v>30</v>
      </c>
      <c r="L17" s="48" t="s">
        <v>34</v>
      </c>
      <c r="M17" s="53"/>
      <c r="N17" s="54"/>
      <c r="O17" s="48" t="s">
        <v>36</v>
      </c>
      <c r="P17" s="52" t="s">
        <v>37</v>
      </c>
      <c r="Q17" s="52" t="s">
        <v>37</v>
      </c>
      <c r="R17" s="52" t="s">
        <v>37</v>
      </c>
      <c r="S17" s="55" t="s">
        <v>37</v>
      </c>
      <c r="T17" s="72"/>
      <c r="U17" s="57" t="s">
        <v>75</v>
      </c>
      <c r="V17" s="53"/>
      <c r="W17" s="53"/>
      <c r="X17" s="53" t="s">
        <v>60</v>
      </c>
      <c r="Y17" s="53" t="str">
        <f aca="false">VLOOKUP(O17,'Taux de valorisation'!A:O,9,FALSE())</f>
        <v>16</v>
      </c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8" hidden="false" customHeight="false" outlineLevel="1" collapsed="false">
      <c r="A18" s="70" t="n">
        <v>162</v>
      </c>
      <c r="B18" s="54" t="s">
        <v>76</v>
      </c>
      <c r="C18" s="46" t="s">
        <v>30</v>
      </c>
      <c r="D18" s="47" t="n">
        <v>3932</v>
      </c>
      <c r="E18" s="54" t="s">
        <v>77</v>
      </c>
      <c r="F18" s="49" t="s">
        <v>32</v>
      </c>
      <c r="G18" s="50" t="n">
        <v>3692</v>
      </c>
      <c r="H18" s="54" t="s">
        <v>78</v>
      </c>
      <c r="I18" s="49" t="s">
        <v>32</v>
      </c>
      <c r="J18" s="51" t="s">
        <v>30</v>
      </c>
      <c r="K18" s="52" t="s">
        <v>30</v>
      </c>
      <c r="L18" s="48" t="s">
        <v>34</v>
      </c>
      <c r="M18" s="53"/>
      <c r="N18" s="54"/>
      <c r="O18" s="48" t="s">
        <v>36</v>
      </c>
      <c r="P18" s="52" t="s">
        <v>37</v>
      </c>
      <c r="Q18" s="52" t="s">
        <v>37</v>
      </c>
      <c r="R18" s="52" t="s">
        <v>37</v>
      </c>
      <c r="S18" s="55" t="s">
        <v>37</v>
      </c>
      <c r="T18" s="58" t="s">
        <v>79</v>
      </c>
      <c r="U18" s="73" t="s">
        <v>80</v>
      </c>
      <c r="V18" s="53"/>
      <c r="W18" s="53"/>
      <c r="X18" s="53"/>
      <c r="Y18" s="53" t="str">
        <f aca="false">VLOOKUP(O18,'Taux de valorisation'!A:O,10,FALSE())</f>
        <v>8</v>
      </c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8" hidden="false" customHeight="false" outlineLevel="1" collapsed="false">
      <c r="A19" s="70" t="n">
        <v>163</v>
      </c>
      <c r="B19" s="54" t="s">
        <v>81</v>
      </c>
      <c r="C19" s="46" t="s">
        <v>30</v>
      </c>
      <c r="D19" s="47" t="n">
        <v>3933</v>
      </c>
      <c r="E19" s="54" t="s">
        <v>82</v>
      </c>
      <c r="F19" s="49" t="s">
        <v>32</v>
      </c>
      <c r="G19" s="50" t="n">
        <v>3693</v>
      </c>
      <c r="H19" s="54" t="s">
        <v>83</v>
      </c>
      <c r="I19" s="49" t="s">
        <v>32</v>
      </c>
      <c r="J19" s="51" t="s">
        <v>30</v>
      </c>
      <c r="K19" s="52" t="s">
        <v>30</v>
      </c>
      <c r="L19" s="48" t="s">
        <v>34</v>
      </c>
      <c r="M19" s="53"/>
      <c r="N19" s="54"/>
      <c r="O19" s="48" t="s">
        <v>36</v>
      </c>
      <c r="P19" s="52" t="s">
        <v>37</v>
      </c>
      <c r="Q19" s="52" t="s">
        <v>37</v>
      </c>
      <c r="R19" s="52" t="s">
        <v>37</v>
      </c>
      <c r="S19" s="55" t="s">
        <v>37</v>
      </c>
      <c r="T19" s="58" t="s">
        <v>79</v>
      </c>
      <c r="U19" s="73" t="s">
        <v>80</v>
      </c>
      <c r="V19" s="53"/>
      <c r="W19" s="53"/>
      <c r="X19" s="53" t="s">
        <v>60</v>
      </c>
      <c r="Y19" s="53" t="str">
        <f aca="false">VLOOKUP(O19,'Taux de valorisation'!A:O,9,FALSE())</f>
        <v>16</v>
      </c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8" hidden="true" customHeight="false" outlineLevel="1" collapsed="false">
      <c r="A20" s="70"/>
      <c r="B20" s="48"/>
      <c r="C20" s="46" t="s">
        <v>37</v>
      </c>
      <c r="D20" s="47"/>
      <c r="E20" s="48"/>
      <c r="F20" s="49"/>
      <c r="G20" s="50"/>
      <c r="H20" s="48"/>
      <c r="I20" s="49"/>
      <c r="J20" s="51" t="s">
        <v>37</v>
      </c>
      <c r="K20" s="52" t="s">
        <v>37</v>
      </c>
      <c r="L20" s="48"/>
      <c r="M20" s="53"/>
      <c r="N20" s="54"/>
      <c r="O20" s="48"/>
      <c r="P20" s="52" t="s">
        <v>37</v>
      </c>
      <c r="Q20" s="52" t="s">
        <v>37</v>
      </c>
      <c r="R20" s="52" t="s">
        <v>37</v>
      </c>
      <c r="S20" s="55" t="s">
        <v>37</v>
      </c>
      <c r="T20" s="58"/>
      <c r="U20" s="59"/>
      <c r="V20" s="53"/>
      <c r="W20" s="53"/>
      <c r="X20" s="53" t="s">
        <v>60</v>
      </c>
      <c r="Y20" s="53" t="e">
        <f aca="false">VLOOKUP(O20,'Taux de valorisation'!A:O,9,FALSE())</f>
        <v>#N/A</v>
      </c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8" hidden="true" customHeight="false" outlineLevel="1" collapsed="false">
      <c r="A21" s="70"/>
      <c r="B21" s="48"/>
      <c r="C21" s="46" t="s">
        <v>37</v>
      </c>
      <c r="D21" s="47"/>
      <c r="E21" s="48"/>
      <c r="F21" s="49"/>
      <c r="G21" s="50"/>
      <c r="H21" s="48"/>
      <c r="I21" s="49"/>
      <c r="J21" s="51" t="s">
        <v>37</v>
      </c>
      <c r="K21" s="52" t="s">
        <v>37</v>
      </c>
      <c r="L21" s="48"/>
      <c r="M21" s="53"/>
      <c r="N21" s="54"/>
      <c r="O21" s="48"/>
      <c r="P21" s="52" t="s">
        <v>37</v>
      </c>
      <c r="Q21" s="52" t="s">
        <v>37</v>
      </c>
      <c r="R21" s="52" t="s">
        <v>37</v>
      </c>
      <c r="S21" s="55" t="s">
        <v>37</v>
      </c>
      <c r="T21" s="58"/>
      <c r="U21" s="59"/>
      <c r="V21" s="53"/>
      <c r="W21" s="53"/>
      <c r="X21" s="53" t="s">
        <v>60</v>
      </c>
      <c r="Y21" s="53" t="e">
        <f aca="false">VLOOKUP(O21,'Taux de valorisation'!A:O,9,FALSE())</f>
        <v>#N/A</v>
      </c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2.75" hidden="false" customHeight="false" outlineLevel="0" collapsed="false">
      <c r="A22" s="74" t="s">
        <v>84</v>
      </c>
      <c r="B22" s="75" t="s">
        <v>85</v>
      </c>
      <c r="C22" s="61"/>
      <c r="D22" s="62"/>
      <c r="E22" s="63"/>
      <c r="F22" s="64"/>
      <c r="G22" s="65"/>
      <c r="H22" s="63"/>
      <c r="I22" s="66"/>
      <c r="J22" s="62"/>
      <c r="K22" s="67"/>
      <c r="L22" s="63"/>
      <c r="M22" s="76"/>
      <c r="N22" s="63"/>
      <c r="O22" s="63"/>
      <c r="P22" s="63"/>
      <c r="Q22" s="63"/>
      <c r="R22" s="63"/>
      <c r="S22" s="64"/>
      <c r="T22" s="58"/>
      <c r="U22" s="59"/>
      <c r="V22" s="76"/>
      <c r="W22" s="76"/>
      <c r="X22" s="76"/>
      <c r="Y22" s="76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8" hidden="false" customHeight="false" outlineLevel="1" collapsed="false">
      <c r="A23" s="44" t="n">
        <v>400</v>
      </c>
      <c r="B23" s="45" t="s">
        <v>86</v>
      </c>
      <c r="C23" s="46" t="s">
        <v>30</v>
      </c>
      <c r="D23" s="50" t="n">
        <v>3800</v>
      </c>
      <c r="E23" s="48" t="s">
        <v>87</v>
      </c>
      <c r="F23" s="49" t="s">
        <v>32</v>
      </c>
      <c r="G23" s="77" t="n">
        <v>3550</v>
      </c>
      <c r="H23" s="49" t="s">
        <v>88</v>
      </c>
      <c r="I23" s="49" t="s">
        <v>32</v>
      </c>
      <c r="J23" s="51" t="s">
        <v>30</v>
      </c>
      <c r="K23" s="52" t="s">
        <v>30</v>
      </c>
      <c r="L23" s="48" t="s">
        <v>34</v>
      </c>
      <c r="M23" s="53"/>
      <c r="N23" s="54"/>
      <c r="O23" s="48" t="s">
        <v>36</v>
      </c>
      <c r="P23" s="52" t="s">
        <v>37</v>
      </c>
      <c r="Q23" s="52" t="s">
        <v>37</v>
      </c>
      <c r="R23" s="52" t="s">
        <v>37</v>
      </c>
      <c r="S23" s="55" t="s">
        <v>37</v>
      </c>
      <c r="T23" s="58"/>
      <c r="U23" s="57" t="s">
        <v>89</v>
      </c>
      <c r="V23" s="53" t="s">
        <v>90</v>
      </c>
      <c r="W23" s="53" t="s">
        <v>90</v>
      </c>
      <c r="X23" s="53" t="s">
        <v>91</v>
      </c>
      <c r="Y23" s="53" t="str">
        <f aca="false">VLOOKUP(O23,'Taux de valorisation'!A:O,10,FALSE())</f>
        <v>8</v>
      </c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customFormat="false" ht="18" hidden="true" customHeight="false" outlineLevel="1" collapsed="false">
      <c r="A24" s="44" t="n">
        <v>410</v>
      </c>
      <c r="B24" s="45" t="s">
        <v>92</v>
      </c>
      <c r="C24" s="46" t="s">
        <v>37</v>
      </c>
      <c r="D24" s="50" t="n">
        <v>3800</v>
      </c>
      <c r="E24" s="48" t="s">
        <v>87</v>
      </c>
      <c r="F24" s="49" t="s">
        <v>32</v>
      </c>
      <c r="G24" s="77" t="n">
        <v>3550</v>
      </c>
      <c r="H24" s="49" t="s">
        <v>88</v>
      </c>
      <c r="I24" s="49" t="s">
        <v>32</v>
      </c>
      <c r="J24" s="51" t="s">
        <v>37</v>
      </c>
      <c r="K24" s="52" t="s">
        <v>37</v>
      </c>
      <c r="L24" s="48" t="s">
        <v>34</v>
      </c>
      <c r="M24" s="53"/>
      <c r="N24" s="54"/>
      <c r="O24" s="48"/>
      <c r="P24" s="52" t="s">
        <v>37</v>
      </c>
      <c r="Q24" s="52" t="s">
        <v>37</v>
      </c>
      <c r="R24" s="52" t="s">
        <v>37</v>
      </c>
      <c r="S24" s="55" t="s">
        <v>37</v>
      </c>
      <c r="T24" s="58"/>
      <c r="U24" s="59"/>
      <c r="V24" s="53" t="s">
        <v>90</v>
      </c>
      <c r="W24" s="53" t="s">
        <v>90</v>
      </c>
      <c r="X24" s="53" t="s">
        <v>91</v>
      </c>
      <c r="Y24" s="53" t="e">
        <f aca="false">VLOOKUP(O24,'Taux de valorisation'!A:O,10,FALSE())</f>
        <v>#N/A</v>
      </c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</row>
    <row r="25" customFormat="false" ht="18" hidden="true" customHeight="false" outlineLevel="1" collapsed="false">
      <c r="A25" s="44" t="n">
        <v>420</v>
      </c>
      <c r="B25" s="45" t="s">
        <v>93</v>
      </c>
      <c r="C25" s="46" t="s">
        <v>37</v>
      </c>
      <c r="D25" s="50" t="n">
        <v>3800</v>
      </c>
      <c r="E25" s="48" t="s">
        <v>87</v>
      </c>
      <c r="F25" s="49" t="s">
        <v>32</v>
      </c>
      <c r="G25" s="77" t="n">
        <v>3550</v>
      </c>
      <c r="H25" s="49" t="s">
        <v>88</v>
      </c>
      <c r="I25" s="49" t="s">
        <v>32</v>
      </c>
      <c r="J25" s="51" t="s">
        <v>37</v>
      </c>
      <c r="K25" s="52" t="s">
        <v>37</v>
      </c>
      <c r="L25" s="48" t="s">
        <v>34</v>
      </c>
      <c r="M25" s="53"/>
      <c r="N25" s="54"/>
      <c r="O25" s="48"/>
      <c r="P25" s="52" t="s">
        <v>37</v>
      </c>
      <c r="Q25" s="52" t="s">
        <v>37</v>
      </c>
      <c r="R25" s="52" t="s">
        <v>37</v>
      </c>
      <c r="S25" s="55" t="s">
        <v>37</v>
      </c>
      <c r="T25" s="58"/>
      <c r="U25" s="59"/>
      <c r="V25" s="53" t="s">
        <v>90</v>
      </c>
      <c r="W25" s="53" t="s">
        <v>90</v>
      </c>
      <c r="X25" s="53" t="s">
        <v>91</v>
      </c>
      <c r="Y25" s="53" t="e">
        <f aca="false">VLOOKUP(O25,'Taux de valorisation'!A:O,10,FALSE())</f>
        <v>#N/A</v>
      </c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8" hidden="true" customHeight="false" outlineLevel="1" collapsed="false">
      <c r="A26" s="44" t="n">
        <v>430</v>
      </c>
      <c r="B26" s="45" t="s">
        <v>94</v>
      </c>
      <c r="C26" s="46" t="s">
        <v>37</v>
      </c>
      <c r="D26" s="50" t="n">
        <v>3950</v>
      </c>
      <c r="E26" s="48" t="s">
        <v>95</v>
      </c>
      <c r="F26" s="49" t="s">
        <v>32</v>
      </c>
      <c r="G26" s="77" t="n">
        <v>3450</v>
      </c>
      <c r="H26" s="49" t="s">
        <v>96</v>
      </c>
      <c r="I26" s="49" t="s">
        <v>32</v>
      </c>
      <c r="J26" s="51" t="s">
        <v>30</v>
      </c>
      <c r="K26" s="52" t="s">
        <v>30</v>
      </c>
      <c r="L26" s="48" t="s">
        <v>34</v>
      </c>
      <c r="M26" s="53"/>
      <c r="N26" s="54"/>
      <c r="O26" s="48" t="s">
        <v>58</v>
      </c>
      <c r="P26" s="52" t="s">
        <v>37</v>
      </c>
      <c r="Q26" s="52" t="s">
        <v>37</v>
      </c>
      <c r="R26" s="52" t="s">
        <v>37</v>
      </c>
      <c r="S26" s="55" t="s">
        <v>37</v>
      </c>
      <c r="T26" s="72"/>
      <c r="U26" s="73"/>
      <c r="V26" s="53" t="s">
        <v>97</v>
      </c>
      <c r="W26" s="53" t="s">
        <v>90</v>
      </c>
      <c r="X26" s="53" t="s">
        <v>91</v>
      </c>
      <c r="Y26" s="53" t="str">
        <f aca="false">VLOOKUP(O26,'Taux de valorisation'!A:O,10,FALSE())</f>
        <v>6</v>
      </c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3.5" hidden="false" customHeight="true" outlineLevel="1" collapsed="false">
      <c r="A27" s="60" t="s">
        <v>71</v>
      </c>
      <c r="B27" s="60"/>
      <c r="C27" s="61"/>
      <c r="D27" s="62"/>
      <c r="E27" s="63"/>
      <c r="F27" s="64"/>
      <c r="G27" s="65"/>
      <c r="H27" s="63"/>
      <c r="I27" s="66"/>
      <c r="J27" s="62"/>
      <c r="K27" s="67"/>
      <c r="L27" s="63"/>
      <c r="M27" s="76"/>
      <c r="N27" s="63"/>
      <c r="O27" s="63"/>
      <c r="P27" s="63"/>
      <c r="Q27" s="63"/>
      <c r="R27" s="63"/>
      <c r="S27" s="64"/>
      <c r="T27" s="58"/>
      <c r="U27" s="59"/>
      <c r="V27" s="76"/>
      <c r="W27" s="76"/>
      <c r="X27" s="76"/>
      <c r="Y27" s="76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customFormat="false" ht="18" hidden="false" customHeight="false" outlineLevel="1" collapsed="false">
      <c r="A28" s="70" t="n">
        <v>401</v>
      </c>
      <c r="B28" s="78" t="s">
        <v>98</v>
      </c>
      <c r="C28" s="46" t="s">
        <v>30</v>
      </c>
      <c r="D28" s="50" t="n">
        <v>3801</v>
      </c>
      <c r="E28" s="54" t="s">
        <v>99</v>
      </c>
      <c r="F28" s="49" t="s">
        <v>32</v>
      </c>
      <c r="G28" s="77" t="n">
        <v>3551</v>
      </c>
      <c r="H28" s="79" t="s">
        <v>100</v>
      </c>
      <c r="I28" s="49" t="s">
        <v>32</v>
      </c>
      <c r="J28" s="51" t="s">
        <v>30</v>
      </c>
      <c r="K28" s="52" t="s">
        <v>30</v>
      </c>
      <c r="L28" s="48" t="s">
        <v>34</v>
      </c>
      <c r="M28" s="53"/>
      <c r="N28" s="54"/>
      <c r="O28" s="48" t="s">
        <v>36</v>
      </c>
      <c r="P28" s="52" t="s">
        <v>37</v>
      </c>
      <c r="Q28" s="52" t="s">
        <v>37</v>
      </c>
      <c r="R28" s="52" t="s">
        <v>37</v>
      </c>
      <c r="S28" s="55" t="s">
        <v>37</v>
      </c>
      <c r="T28" s="58" t="s">
        <v>79</v>
      </c>
      <c r="U28" s="73" t="s">
        <v>80</v>
      </c>
      <c r="V28" s="53" t="s">
        <v>90</v>
      </c>
      <c r="W28" s="53" t="s">
        <v>90</v>
      </c>
      <c r="X28" s="53" t="s">
        <v>91</v>
      </c>
      <c r="Y28" s="53" t="str">
        <f aca="false">VLOOKUP(O28,'Taux de valorisation'!A:O,10,FALSE())</f>
        <v>8</v>
      </c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</row>
    <row r="29" customFormat="false" ht="18" hidden="true" customHeight="false" outlineLevel="1" collapsed="false">
      <c r="A29" s="70"/>
      <c r="B29" s="48"/>
      <c r="C29" s="46" t="s">
        <v>37</v>
      </c>
      <c r="D29" s="47"/>
      <c r="E29" s="48"/>
      <c r="F29" s="49"/>
      <c r="G29" s="50"/>
      <c r="H29" s="48"/>
      <c r="I29" s="49"/>
      <c r="J29" s="51" t="s">
        <v>37</v>
      </c>
      <c r="K29" s="52" t="s">
        <v>37</v>
      </c>
      <c r="L29" s="48"/>
      <c r="M29" s="53"/>
      <c r="N29" s="54"/>
      <c r="O29" s="48"/>
      <c r="P29" s="52" t="s">
        <v>37</v>
      </c>
      <c r="Q29" s="52" t="s">
        <v>37</v>
      </c>
      <c r="R29" s="52" t="s">
        <v>37</v>
      </c>
      <c r="S29" s="55" t="s">
        <v>37</v>
      </c>
      <c r="T29" s="58"/>
      <c r="U29" s="59"/>
      <c r="V29" s="53"/>
      <c r="W29" s="53"/>
      <c r="X29" s="53"/>
      <c r="Y29" s="53" t="e">
        <f aca="false">VLOOKUP(O29,'Taux de valorisation'!A:O,10,FALSE())</f>
        <v>#N/A</v>
      </c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2.75" hidden="false" customHeight="false" outlineLevel="0" collapsed="false">
      <c r="A30" s="74" t="s">
        <v>101</v>
      </c>
      <c r="B30" s="75" t="s">
        <v>102</v>
      </c>
      <c r="C30" s="61"/>
      <c r="D30" s="62"/>
      <c r="E30" s="63"/>
      <c r="F30" s="64"/>
      <c r="G30" s="65"/>
      <c r="H30" s="63"/>
      <c r="I30" s="66"/>
      <c r="J30" s="62"/>
      <c r="K30" s="67"/>
      <c r="L30" s="63"/>
      <c r="M30" s="76"/>
      <c r="N30" s="63"/>
      <c r="O30" s="63"/>
      <c r="P30" s="63"/>
      <c r="Q30" s="63"/>
      <c r="R30" s="63"/>
      <c r="S30" s="64"/>
      <c r="T30" s="58"/>
      <c r="U30" s="59"/>
      <c r="V30" s="76"/>
      <c r="W30" s="76"/>
      <c r="X30" s="76"/>
      <c r="Y30" s="76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customFormat="false" ht="18" hidden="true" customHeight="false" outlineLevel="1" collapsed="false">
      <c r="A31" s="44" t="n">
        <v>500</v>
      </c>
      <c r="B31" s="45" t="s">
        <v>103</v>
      </c>
      <c r="C31" s="46" t="s">
        <v>37</v>
      </c>
      <c r="D31" s="77" t="n">
        <v>3810</v>
      </c>
      <c r="E31" s="49" t="s">
        <v>104</v>
      </c>
      <c r="F31" s="49" t="s">
        <v>105</v>
      </c>
      <c r="G31" s="77" t="n">
        <v>3560</v>
      </c>
      <c r="H31" s="49" t="s">
        <v>106</v>
      </c>
      <c r="I31" s="49" t="s">
        <v>105</v>
      </c>
      <c r="J31" s="51" t="s">
        <v>30</v>
      </c>
      <c r="K31" s="52" t="s">
        <v>30</v>
      </c>
      <c r="L31" s="48" t="s">
        <v>107</v>
      </c>
      <c r="M31" s="53"/>
      <c r="N31" s="54" t="s">
        <v>108</v>
      </c>
      <c r="O31" s="48"/>
      <c r="P31" s="52" t="s">
        <v>37</v>
      </c>
      <c r="Q31" s="52" t="s">
        <v>37</v>
      </c>
      <c r="R31" s="52" t="s">
        <v>37</v>
      </c>
      <c r="S31" s="55" t="s">
        <v>30</v>
      </c>
      <c r="T31" s="72"/>
      <c r="U31" s="73"/>
      <c r="V31" s="53" t="s">
        <v>109</v>
      </c>
      <c r="W31" s="53" t="s">
        <v>109</v>
      </c>
      <c r="X31" s="53" t="s">
        <v>110</v>
      </c>
      <c r="Y31" s="53" t="e">
        <f aca="false">VLOOKUP(O31,'Taux de valorisation'!A:O,11,FALSE())</f>
        <v>#N/A</v>
      </c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</row>
    <row r="32" customFormat="false" ht="18" hidden="true" customHeight="false" outlineLevel="1" collapsed="false">
      <c r="A32" s="44" t="n">
        <v>510</v>
      </c>
      <c r="B32" s="45" t="s">
        <v>111</v>
      </c>
      <c r="C32" s="46" t="s">
        <v>37</v>
      </c>
      <c r="D32" s="77" t="s">
        <v>112</v>
      </c>
      <c r="E32" s="49" t="s">
        <v>113</v>
      </c>
      <c r="F32" s="49" t="s">
        <v>32</v>
      </c>
      <c r="G32" s="77" t="s">
        <v>114</v>
      </c>
      <c r="H32" s="49" t="s">
        <v>115</v>
      </c>
      <c r="I32" s="49" t="s">
        <v>32</v>
      </c>
      <c r="J32" s="51" t="s">
        <v>37</v>
      </c>
      <c r="K32" s="52" t="s">
        <v>37</v>
      </c>
      <c r="L32" s="48"/>
      <c r="M32" s="53"/>
      <c r="N32" s="54"/>
      <c r="O32" s="48"/>
      <c r="P32" s="52" t="s">
        <v>37</v>
      </c>
      <c r="Q32" s="52" t="s">
        <v>37</v>
      </c>
      <c r="R32" s="52" t="s">
        <v>37</v>
      </c>
      <c r="S32" s="55" t="s">
        <v>37</v>
      </c>
      <c r="T32" s="58"/>
      <c r="U32" s="59"/>
      <c r="V32" s="80"/>
      <c r="W32" s="80"/>
      <c r="X32" s="53" t="s">
        <v>116</v>
      </c>
      <c r="Y32" s="53" t="e">
        <f aca="false">VLOOKUP(O32,'Taux de valorisation'!A:O,12,FALSE())</f>
        <v>#N/A</v>
      </c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customFormat="false" ht="18" hidden="true" customHeight="false" outlineLevel="1" collapsed="false">
      <c r="A33" s="44" t="n">
        <v>520</v>
      </c>
      <c r="B33" s="45" t="s">
        <v>117</v>
      </c>
      <c r="C33" s="46" t="s">
        <v>37</v>
      </c>
      <c r="D33" s="77" t="n">
        <v>3820</v>
      </c>
      <c r="E33" s="49" t="s">
        <v>118</v>
      </c>
      <c r="F33" s="49" t="s">
        <v>32</v>
      </c>
      <c r="G33" s="77" t="n">
        <v>3570</v>
      </c>
      <c r="H33" s="49" t="s">
        <v>119</v>
      </c>
      <c r="I33" s="49" t="s">
        <v>32</v>
      </c>
      <c r="J33" s="51" t="s">
        <v>37</v>
      </c>
      <c r="K33" s="52" t="s">
        <v>37</v>
      </c>
      <c r="L33" s="48"/>
      <c r="M33" s="53"/>
      <c r="N33" s="54"/>
      <c r="O33" s="48"/>
      <c r="P33" s="52" t="s">
        <v>37</v>
      </c>
      <c r="Q33" s="52" t="s">
        <v>37</v>
      </c>
      <c r="R33" s="52" t="s">
        <v>37</v>
      </c>
      <c r="S33" s="55" t="s">
        <v>37</v>
      </c>
      <c r="T33" s="58"/>
      <c r="U33" s="59"/>
      <c r="V33" s="53" t="s">
        <v>120</v>
      </c>
      <c r="W33" s="53" t="s">
        <v>120</v>
      </c>
      <c r="X33" s="53" t="s">
        <v>121</v>
      </c>
      <c r="Y33" s="53" t="e">
        <f aca="false">VLOOKUP(O33,'Taux de valorisation'!A:O,12,FALSE())</f>
        <v>#N/A</v>
      </c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</row>
    <row r="34" customFormat="false" ht="18" hidden="true" customHeight="false" outlineLevel="1" collapsed="false">
      <c r="A34" s="44" t="n">
        <v>530</v>
      </c>
      <c r="B34" s="45" t="s">
        <v>122</v>
      </c>
      <c r="C34" s="46" t="s">
        <v>37</v>
      </c>
      <c r="D34" s="77" t="n">
        <v>3830</v>
      </c>
      <c r="E34" s="49" t="s">
        <v>123</v>
      </c>
      <c r="F34" s="49" t="s">
        <v>32</v>
      </c>
      <c r="G34" s="77" t="n">
        <v>3580</v>
      </c>
      <c r="H34" s="49" t="s">
        <v>124</v>
      </c>
      <c r="I34" s="49" t="s">
        <v>32</v>
      </c>
      <c r="J34" s="51" t="s">
        <v>37</v>
      </c>
      <c r="K34" s="52" t="s">
        <v>37</v>
      </c>
      <c r="L34" s="48"/>
      <c r="M34" s="53"/>
      <c r="N34" s="54"/>
      <c r="O34" s="48"/>
      <c r="P34" s="52" t="s">
        <v>37</v>
      </c>
      <c r="Q34" s="52" t="s">
        <v>37</v>
      </c>
      <c r="R34" s="52" t="s">
        <v>37</v>
      </c>
      <c r="S34" s="55" t="s">
        <v>37</v>
      </c>
      <c r="T34" s="58"/>
      <c r="U34" s="59"/>
      <c r="V34" s="53" t="s">
        <v>120</v>
      </c>
      <c r="W34" s="53" t="s">
        <v>120</v>
      </c>
      <c r="X34" s="53" t="s">
        <v>121</v>
      </c>
      <c r="Y34" s="53" t="e">
        <f aca="false">VLOOKUP(O34,'Taux de valorisation'!A:O,12,FALSE())</f>
        <v>#N/A</v>
      </c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8" hidden="true" customHeight="false" outlineLevel="1" collapsed="false">
      <c r="A35" s="44" t="n">
        <v>540</v>
      </c>
      <c r="B35" s="45" t="s">
        <v>125</v>
      </c>
      <c r="C35" s="46" t="s">
        <v>37</v>
      </c>
      <c r="D35" s="77" t="n">
        <v>3840</v>
      </c>
      <c r="E35" s="49" t="s">
        <v>126</v>
      </c>
      <c r="F35" s="49" t="s">
        <v>32</v>
      </c>
      <c r="G35" s="77" t="n">
        <v>3590</v>
      </c>
      <c r="H35" s="49" t="s">
        <v>127</v>
      </c>
      <c r="I35" s="49" t="s">
        <v>32</v>
      </c>
      <c r="J35" s="51" t="s">
        <v>37</v>
      </c>
      <c r="K35" s="52" t="s">
        <v>37</v>
      </c>
      <c r="L35" s="48"/>
      <c r="M35" s="53"/>
      <c r="N35" s="54"/>
      <c r="O35" s="48"/>
      <c r="P35" s="52" t="s">
        <v>37</v>
      </c>
      <c r="Q35" s="52" t="s">
        <v>37</v>
      </c>
      <c r="R35" s="52" t="s">
        <v>37</v>
      </c>
      <c r="S35" s="55" t="s">
        <v>37</v>
      </c>
      <c r="T35" s="58"/>
      <c r="U35" s="59"/>
      <c r="V35" s="53" t="s">
        <v>120</v>
      </c>
      <c r="W35" s="53" t="s">
        <v>120</v>
      </c>
      <c r="X35" s="53" t="s">
        <v>121</v>
      </c>
      <c r="Y35" s="53" t="e">
        <f aca="false">VLOOKUP(O35,'Taux de valorisation'!A:O,12,FALSE())</f>
        <v>#N/A</v>
      </c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3.5" hidden="false" customHeight="true" outlineLevel="1" collapsed="false">
      <c r="A36" s="60" t="s">
        <v>71</v>
      </c>
      <c r="B36" s="60"/>
      <c r="C36" s="61"/>
      <c r="D36" s="62"/>
      <c r="E36" s="63"/>
      <c r="F36" s="64"/>
      <c r="G36" s="65"/>
      <c r="H36" s="63"/>
      <c r="I36" s="66"/>
      <c r="J36" s="62"/>
      <c r="K36" s="67"/>
      <c r="L36" s="63"/>
      <c r="M36" s="76"/>
      <c r="N36" s="63"/>
      <c r="O36" s="63"/>
      <c r="P36" s="63"/>
      <c r="Q36" s="63"/>
      <c r="R36" s="63"/>
      <c r="S36" s="64"/>
      <c r="T36" s="58"/>
      <c r="U36" s="59"/>
      <c r="V36" s="76"/>
      <c r="W36" s="76"/>
      <c r="X36" s="76"/>
      <c r="Y36" s="76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8" hidden="true" customHeight="false" outlineLevel="1" collapsed="false">
      <c r="A37" s="70"/>
      <c r="B37" s="54"/>
      <c r="C37" s="46" t="s">
        <v>37</v>
      </c>
      <c r="D37" s="47"/>
      <c r="E37" s="47"/>
      <c r="F37" s="49"/>
      <c r="G37" s="50"/>
      <c r="H37" s="50"/>
      <c r="I37" s="49"/>
      <c r="J37" s="51" t="s">
        <v>37</v>
      </c>
      <c r="K37" s="52" t="s">
        <v>37</v>
      </c>
      <c r="L37" s="48"/>
      <c r="M37" s="53"/>
      <c r="N37" s="54"/>
      <c r="O37" s="48" t="s">
        <v>58</v>
      </c>
      <c r="P37" s="52" t="s">
        <v>37</v>
      </c>
      <c r="Q37" s="52" t="s">
        <v>37</v>
      </c>
      <c r="R37" s="52" t="s">
        <v>37</v>
      </c>
      <c r="S37" s="55" t="s">
        <v>30</v>
      </c>
      <c r="T37" s="58"/>
      <c r="U37" s="59"/>
      <c r="V37" s="53"/>
      <c r="W37" s="53"/>
      <c r="X37" s="53"/>
      <c r="Y37" s="53" t="str">
        <f aca="false">VLOOKUP(O37,'Taux de valorisation'!A:O,12,FALSE())</f>
        <v>N/R</v>
      </c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8" hidden="true" customHeight="false" outlineLevel="1" collapsed="false">
      <c r="A38" s="70"/>
      <c r="B38" s="54"/>
      <c r="C38" s="46" t="s">
        <v>37</v>
      </c>
      <c r="D38" s="47"/>
      <c r="E38" s="47"/>
      <c r="F38" s="49"/>
      <c r="G38" s="50"/>
      <c r="H38" s="50"/>
      <c r="I38" s="49"/>
      <c r="J38" s="51" t="s">
        <v>37</v>
      </c>
      <c r="K38" s="52" t="s">
        <v>37</v>
      </c>
      <c r="L38" s="48"/>
      <c r="M38" s="53"/>
      <c r="N38" s="54"/>
      <c r="O38" s="48" t="s">
        <v>58</v>
      </c>
      <c r="P38" s="52" t="s">
        <v>37</v>
      </c>
      <c r="Q38" s="52" t="s">
        <v>37</v>
      </c>
      <c r="R38" s="52" t="s">
        <v>37</v>
      </c>
      <c r="S38" s="55" t="s">
        <v>37</v>
      </c>
      <c r="T38" s="56"/>
      <c r="U38" s="57"/>
      <c r="V38" s="53"/>
      <c r="W38" s="53"/>
      <c r="X38" s="53"/>
      <c r="Y38" s="53" t="str">
        <f aca="false">VLOOKUP(O38,'Taux de valorisation'!A:O,12,FALSE())</f>
        <v>N/R</v>
      </c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8" hidden="true" customHeight="false" outlineLevel="1" collapsed="false">
      <c r="A39" s="70"/>
      <c r="B39" s="54"/>
      <c r="C39" s="46" t="s">
        <v>37</v>
      </c>
      <c r="D39" s="47"/>
      <c r="E39" s="47"/>
      <c r="F39" s="49"/>
      <c r="G39" s="50"/>
      <c r="H39" s="50"/>
      <c r="I39" s="49"/>
      <c r="J39" s="51" t="s">
        <v>37</v>
      </c>
      <c r="K39" s="52" t="s">
        <v>37</v>
      </c>
      <c r="L39" s="48"/>
      <c r="M39" s="53"/>
      <c r="N39" s="54"/>
      <c r="O39" s="48" t="s">
        <v>58</v>
      </c>
      <c r="P39" s="52" t="s">
        <v>37</v>
      </c>
      <c r="Q39" s="52" t="s">
        <v>37</v>
      </c>
      <c r="R39" s="52" t="s">
        <v>37</v>
      </c>
      <c r="S39" s="55" t="s">
        <v>37</v>
      </c>
      <c r="T39" s="56"/>
      <c r="U39" s="57"/>
      <c r="V39" s="53"/>
      <c r="W39" s="53"/>
      <c r="X39" s="53"/>
      <c r="Y39" s="53" t="str">
        <f aca="false">VLOOKUP(O39,'Taux de valorisation'!A:O,12,FALSE())</f>
        <v>N/R</v>
      </c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8" hidden="true" customHeight="false" outlineLevel="1" collapsed="false">
      <c r="A40" s="70"/>
      <c r="B40" s="48"/>
      <c r="C40" s="46" t="s">
        <v>37</v>
      </c>
      <c r="D40" s="47"/>
      <c r="E40" s="48"/>
      <c r="F40" s="49"/>
      <c r="G40" s="50"/>
      <c r="H40" s="48"/>
      <c r="I40" s="49"/>
      <c r="J40" s="51" t="s">
        <v>37</v>
      </c>
      <c r="K40" s="52" t="s">
        <v>37</v>
      </c>
      <c r="L40" s="48"/>
      <c r="M40" s="53"/>
      <c r="N40" s="54"/>
      <c r="O40" s="48"/>
      <c r="P40" s="52" t="s">
        <v>37</v>
      </c>
      <c r="Q40" s="52" t="s">
        <v>37</v>
      </c>
      <c r="R40" s="52" t="s">
        <v>37</v>
      </c>
      <c r="S40" s="55" t="s">
        <v>37</v>
      </c>
      <c r="T40" s="58"/>
      <c r="U40" s="59"/>
      <c r="V40" s="53"/>
      <c r="W40" s="53"/>
      <c r="X40" s="53"/>
      <c r="Y40" s="53" t="e">
        <f aca="false">VLOOKUP(O40,'Taux de valorisation'!A:O,12,FALSE())</f>
        <v>#N/A</v>
      </c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2.75" hidden="false" customHeight="false" outlineLevel="0" collapsed="false">
      <c r="A41" s="81" t="s">
        <v>128</v>
      </c>
      <c r="B41" s="75" t="s">
        <v>129</v>
      </c>
      <c r="C41" s="61"/>
      <c r="D41" s="62"/>
      <c r="E41" s="63"/>
      <c r="F41" s="64"/>
      <c r="G41" s="65"/>
      <c r="H41" s="63"/>
      <c r="I41" s="66"/>
      <c r="J41" s="62"/>
      <c r="K41" s="67"/>
      <c r="L41" s="63"/>
      <c r="M41" s="76"/>
      <c r="N41" s="63"/>
      <c r="O41" s="63"/>
      <c r="P41" s="63"/>
      <c r="Q41" s="63"/>
      <c r="R41" s="63"/>
      <c r="S41" s="64"/>
      <c r="T41" s="58"/>
      <c r="U41" s="59"/>
      <c r="V41" s="76"/>
      <c r="W41" s="76"/>
      <c r="X41" s="76"/>
      <c r="Y41" s="76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8" hidden="false" customHeight="false" outlineLevel="1" collapsed="false">
      <c r="A42" s="44" t="n">
        <v>1100</v>
      </c>
      <c r="B42" s="45" t="s">
        <v>130</v>
      </c>
      <c r="C42" s="46" t="s">
        <v>30</v>
      </c>
      <c r="D42" s="47" t="n">
        <v>3200</v>
      </c>
      <c r="E42" s="48" t="s">
        <v>131</v>
      </c>
      <c r="F42" s="49" t="s">
        <v>132</v>
      </c>
      <c r="G42" s="50" t="n">
        <v>3000</v>
      </c>
      <c r="H42" s="48" t="s">
        <v>133</v>
      </c>
      <c r="I42" s="49" t="s">
        <v>132</v>
      </c>
      <c r="J42" s="51" t="s">
        <v>30</v>
      </c>
      <c r="K42" s="52" t="s">
        <v>30</v>
      </c>
      <c r="L42" s="48" t="s">
        <v>34</v>
      </c>
      <c r="M42" s="53"/>
      <c r="N42" s="54"/>
      <c r="O42" s="48" t="s">
        <v>134</v>
      </c>
      <c r="P42" s="52" t="s">
        <v>37</v>
      </c>
      <c r="Q42" s="52" t="s">
        <v>37</v>
      </c>
      <c r="R42" s="52" t="s">
        <v>37</v>
      </c>
      <c r="S42" s="55" t="s">
        <v>30</v>
      </c>
      <c r="T42" s="72" t="s">
        <v>135</v>
      </c>
      <c r="U42" s="57" t="s">
        <v>136</v>
      </c>
      <c r="V42" s="53" t="s">
        <v>137</v>
      </c>
      <c r="W42" s="53" t="s">
        <v>137</v>
      </c>
      <c r="X42" s="53" t="s">
        <v>138</v>
      </c>
      <c r="Y42" s="53" t="str">
        <f aca="false">VLOOKUP(O42,'Taux de valorisation'!A:O,13,FALSE())</f>
        <v>1</v>
      </c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8" hidden="true" customHeight="false" outlineLevel="1" collapsed="false">
      <c r="A43" s="44" t="n">
        <v>1100</v>
      </c>
      <c r="B43" s="45" t="s">
        <v>130</v>
      </c>
      <c r="C43" s="46" t="s">
        <v>37</v>
      </c>
      <c r="D43" s="47" t="n">
        <v>3360</v>
      </c>
      <c r="E43" s="48" t="s">
        <v>139</v>
      </c>
      <c r="F43" s="49" t="s">
        <v>132</v>
      </c>
      <c r="G43" s="50" t="n">
        <v>3000</v>
      </c>
      <c r="H43" s="48" t="s">
        <v>133</v>
      </c>
      <c r="I43" s="49" t="s">
        <v>132</v>
      </c>
      <c r="J43" s="51" t="s">
        <v>37</v>
      </c>
      <c r="K43" s="52" t="s">
        <v>37</v>
      </c>
      <c r="L43" s="48"/>
      <c r="M43" s="53"/>
      <c r="N43" s="54"/>
      <c r="O43" s="48"/>
      <c r="P43" s="52" t="s">
        <v>37</v>
      </c>
      <c r="Q43" s="52" t="s">
        <v>37</v>
      </c>
      <c r="R43" s="52" t="s">
        <v>37</v>
      </c>
      <c r="S43" s="55" t="s">
        <v>37</v>
      </c>
      <c r="T43" s="58"/>
      <c r="U43" s="59"/>
      <c r="V43" s="53" t="s">
        <v>137</v>
      </c>
      <c r="W43" s="53" t="s">
        <v>137</v>
      </c>
      <c r="X43" s="53" t="s">
        <v>138</v>
      </c>
      <c r="Y43" s="53" t="e">
        <f aca="false">VLOOKUP(O43,'Taux de valorisation'!A:O,13,FALSE())</f>
        <v>#N/A</v>
      </c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8" hidden="true" customHeight="false" outlineLevel="1" collapsed="false">
      <c r="A44" s="44" t="n">
        <v>1100</v>
      </c>
      <c r="B44" s="45" t="s">
        <v>130</v>
      </c>
      <c r="C44" s="46" t="s">
        <v>37</v>
      </c>
      <c r="D44" s="47" t="n">
        <v>3210</v>
      </c>
      <c r="E44" s="48" t="s">
        <v>140</v>
      </c>
      <c r="F44" s="49" t="s">
        <v>132</v>
      </c>
      <c r="G44" s="50" t="n">
        <v>3000</v>
      </c>
      <c r="H44" s="48" t="s">
        <v>133</v>
      </c>
      <c r="I44" s="49" t="s">
        <v>132</v>
      </c>
      <c r="J44" s="51" t="s">
        <v>37</v>
      </c>
      <c r="K44" s="52" t="s">
        <v>37</v>
      </c>
      <c r="L44" s="48"/>
      <c r="M44" s="53"/>
      <c r="N44" s="54"/>
      <c r="O44" s="48"/>
      <c r="P44" s="52" t="s">
        <v>37</v>
      </c>
      <c r="Q44" s="52" t="s">
        <v>37</v>
      </c>
      <c r="R44" s="52" t="s">
        <v>37</v>
      </c>
      <c r="S44" s="55" t="s">
        <v>37</v>
      </c>
      <c r="T44" s="58"/>
      <c r="U44" s="59"/>
      <c r="V44" s="53" t="s">
        <v>137</v>
      </c>
      <c r="W44" s="53" t="s">
        <v>137</v>
      </c>
      <c r="X44" s="53" t="s">
        <v>138</v>
      </c>
      <c r="Y44" s="53" t="e">
        <f aca="false">VLOOKUP(O44,'Taux de valorisation'!A:O,13,FALSE())</f>
        <v>#N/A</v>
      </c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8" hidden="true" customHeight="false" outlineLevel="1" collapsed="false">
      <c r="A45" s="44" t="n">
        <v>1100</v>
      </c>
      <c r="B45" s="45" t="s">
        <v>130</v>
      </c>
      <c r="C45" s="46" t="s">
        <v>37</v>
      </c>
      <c r="D45" s="47" t="n">
        <v>3370</v>
      </c>
      <c r="E45" s="48" t="s">
        <v>141</v>
      </c>
      <c r="F45" s="49" t="s">
        <v>132</v>
      </c>
      <c r="G45" s="50" t="n">
        <v>3000</v>
      </c>
      <c r="H45" s="48" t="s">
        <v>133</v>
      </c>
      <c r="I45" s="49" t="s">
        <v>132</v>
      </c>
      <c r="J45" s="51" t="s">
        <v>37</v>
      </c>
      <c r="K45" s="52" t="s">
        <v>37</v>
      </c>
      <c r="L45" s="48"/>
      <c r="M45" s="53"/>
      <c r="N45" s="54"/>
      <c r="O45" s="48"/>
      <c r="P45" s="52" t="s">
        <v>37</v>
      </c>
      <c r="Q45" s="52" t="s">
        <v>37</v>
      </c>
      <c r="R45" s="52" t="s">
        <v>37</v>
      </c>
      <c r="S45" s="55" t="s">
        <v>37</v>
      </c>
      <c r="T45" s="58"/>
      <c r="U45" s="59"/>
      <c r="V45" s="53" t="s">
        <v>137</v>
      </c>
      <c r="W45" s="53" t="s">
        <v>137</v>
      </c>
      <c r="X45" s="53" t="s">
        <v>138</v>
      </c>
      <c r="Y45" s="53" t="e">
        <f aca="false">VLOOKUP(O45,'Taux de valorisation'!A:O,13,FALSE())</f>
        <v>#N/A</v>
      </c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8" hidden="true" customHeight="false" outlineLevel="1" collapsed="false">
      <c r="A46" s="44" t="n">
        <v>1100</v>
      </c>
      <c r="B46" s="45" t="s">
        <v>130</v>
      </c>
      <c r="C46" s="46" t="s">
        <v>37</v>
      </c>
      <c r="D46" s="47" t="n">
        <v>3220</v>
      </c>
      <c r="E46" s="48" t="s">
        <v>142</v>
      </c>
      <c r="F46" s="49" t="s">
        <v>132</v>
      </c>
      <c r="G46" s="50" t="n">
        <v>3000</v>
      </c>
      <c r="H46" s="48" t="s">
        <v>133</v>
      </c>
      <c r="I46" s="49" t="s">
        <v>132</v>
      </c>
      <c r="J46" s="51" t="s">
        <v>37</v>
      </c>
      <c r="K46" s="52" t="s">
        <v>37</v>
      </c>
      <c r="L46" s="48"/>
      <c r="M46" s="53"/>
      <c r="N46" s="54"/>
      <c r="O46" s="48"/>
      <c r="P46" s="52" t="s">
        <v>37</v>
      </c>
      <c r="Q46" s="52" t="s">
        <v>37</v>
      </c>
      <c r="R46" s="52" t="s">
        <v>37</v>
      </c>
      <c r="S46" s="55" t="s">
        <v>37</v>
      </c>
      <c r="T46" s="58"/>
      <c r="U46" s="59"/>
      <c r="V46" s="53" t="s">
        <v>137</v>
      </c>
      <c r="W46" s="53" t="s">
        <v>137</v>
      </c>
      <c r="X46" s="53" t="s">
        <v>138</v>
      </c>
      <c r="Y46" s="53" t="e">
        <f aca="false">VLOOKUP(O46,'Taux de valorisation'!A:O,13,FALSE())</f>
        <v>#N/A</v>
      </c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8" hidden="false" customHeight="false" outlineLevel="1" collapsed="false">
      <c r="A47" s="44" t="n">
        <v>1100</v>
      </c>
      <c r="B47" s="45" t="s">
        <v>130</v>
      </c>
      <c r="C47" s="46" t="s">
        <v>30</v>
      </c>
      <c r="D47" s="47"/>
      <c r="E47" s="48"/>
      <c r="F47" s="49"/>
      <c r="G47" s="50" t="n">
        <v>3000</v>
      </c>
      <c r="H47" s="48" t="s">
        <v>133</v>
      </c>
      <c r="I47" s="49" t="s">
        <v>132</v>
      </c>
      <c r="J47" s="51" t="s">
        <v>30</v>
      </c>
      <c r="K47" s="52" t="s">
        <v>30</v>
      </c>
      <c r="L47" s="48" t="s">
        <v>34</v>
      </c>
      <c r="M47" s="53"/>
      <c r="N47" s="54"/>
      <c r="O47" s="48" t="s">
        <v>134</v>
      </c>
      <c r="P47" s="52" t="s">
        <v>37</v>
      </c>
      <c r="Q47" s="52" t="s">
        <v>37</v>
      </c>
      <c r="R47" s="52" t="s">
        <v>37</v>
      </c>
      <c r="S47" s="55" t="s">
        <v>37</v>
      </c>
      <c r="T47" s="58"/>
      <c r="U47" s="57"/>
      <c r="V47" s="53" t="s">
        <v>137</v>
      </c>
      <c r="W47" s="53" t="s">
        <v>137</v>
      </c>
      <c r="X47" s="53" t="s">
        <v>138</v>
      </c>
      <c r="Y47" s="53" t="str">
        <f aca="false">VLOOKUP(O47,'Taux de valorisation'!A:O,13,FALSE())</f>
        <v>1</v>
      </c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8" hidden="false" customHeight="false" outlineLevel="1" collapsed="false">
      <c r="A48" s="44" t="n">
        <v>1110</v>
      </c>
      <c r="B48" s="45" t="s">
        <v>143</v>
      </c>
      <c r="C48" s="46" t="s">
        <v>30</v>
      </c>
      <c r="D48" s="47" t="n">
        <v>3230</v>
      </c>
      <c r="E48" s="48" t="s">
        <v>144</v>
      </c>
      <c r="F48" s="49" t="s">
        <v>132</v>
      </c>
      <c r="G48" s="50" t="n">
        <v>3030</v>
      </c>
      <c r="H48" s="48" t="s">
        <v>145</v>
      </c>
      <c r="I48" s="49" t="s">
        <v>132</v>
      </c>
      <c r="J48" s="51" t="s">
        <v>30</v>
      </c>
      <c r="K48" s="52" t="s">
        <v>30</v>
      </c>
      <c r="L48" s="48" t="s">
        <v>34</v>
      </c>
      <c r="M48" s="53"/>
      <c r="N48" s="54"/>
      <c r="O48" s="48" t="s">
        <v>134</v>
      </c>
      <c r="P48" s="52" t="s">
        <v>37</v>
      </c>
      <c r="Q48" s="52" t="s">
        <v>37</v>
      </c>
      <c r="R48" s="52" t="s">
        <v>37</v>
      </c>
      <c r="S48" s="55" t="s">
        <v>30</v>
      </c>
      <c r="T48" s="72" t="s">
        <v>135</v>
      </c>
      <c r="U48" s="57" t="s">
        <v>146</v>
      </c>
      <c r="V48" s="53" t="s">
        <v>137</v>
      </c>
      <c r="W48" s="53" t="s">
        <v>137</v>
      </c>
      <c r="X48" s="53" t="s">
        <v>138</v>
      </c>
      <c r="Y48" s="53" t="str">
        <f aca="false">VLOOKUP(O48,'Taux de valorisation'!A:O,13,FALSE())</f>
        <v>1</v>
      </c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8" hidden="true" customHeight="false" outlineLevel="1" collapsed="false">
      <c r="A49" s="44" t="n">
        <v>1110</v>
      </c>
      <c r="B49" s="45" t="s">
        <v>143</v>
      </c>
      <c r="C49" s="46" t="s">
        <v>37</v>
      </c>
      <c r="D49" s="47" t="n">
        <v>3380</v>
      </c>
      <c r="E49" s="48" t="s">
        <v>147</v>
      </c>
      <c r="F49" s="49" t="s">
        <v>132</v>
      </c>
      <c r="G49" s="50" t="n">
        <v>3030</v>
      </c>
      <c r="H49" s="48" t="s">
        <v>145</v>
      </c>
      <c r="I49" s="49" t="s">
        <v>132</v>
      </c>
      <c r="J49" s="51" t="s">
        <v>37</v>
      </c>
      <c r="K49" s="52" t="s">
        <v>37</v>
      </c>
      <c r="L49" s="48"/>
      <c r="M49" s="53"/>
      <c r="N49" s="54"/>
      <c r="O49" s="48"/>
      <c r="P49" s="52" t="s">
        <v>37</v>
      </c>
      <c r="Q49" s="52" t="s">
        <v>37</v>
      </c>
      <c r="R49" s="52" t="s">
        <v>37</v>
      </c>
      <c r="S49" s="55" t="s">
        <v>37</v>
      </c>
      <c r="T49" s="58"/>
      <c r="U49" s="59"/>
      <c r="V49" s="53" t="s">
        <v>137</v>
      </c>
      <c r="W49" s="53" t="s">
        <v>137</v>
      </c>
      <c r="X49" s="53" t="s">
        <v>138</v>
      </c>
      <c r="Y49" s="53" t="e">
        <f aca="false">VLOOKUP(O49,'Taux de valorisation'!A:O,13,FALSE())</f>
        <v>#N/A</v>
      </c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8" hidden="true" customHeight="false" outlineLevel="1" collapsed="false">
      <c r="A50" s="44" t="n">
        <v>1110</v>
      </c>
      <c r="B50" s="45" t="s">
        <v>143</v>
      </c>
      <c r="C50" s="46" t="s">
        <v>37</v>
      </c>
      <c r="D50" s="47" t="n">
        <v>3240</v>
      </c>
      <c r="E50" s="48" t="s">
        <v>148</v>
      </c>
      <c r="F50" s="49" t="s">
        <v>132</v>
      </c>
      <c r="G50" s="50" t="n">
        <v>3030</v>
      </c>
      <c r="H50" s="48" t="s">
        <v>145</v>
      </c>
      <c r="I50" s="49" t="s">
        <v>132</v>
      </c>
      <c r="J50" s="51" t="s">
        <v>37</v>
      </c>
      <c r="K50" s="52" t="s">
        <v>37</v>
      </c>
      <c r="L50" s="48"/>
      <c r="M50" s="53"/>
      <c r="N50" s="54"/>
      <c r="O50" s="48"/>
      <c r="P50" s="52" t="s">
        <v>37</v>
      </c>
      <c r="Q50" s="52" t="s">
        <v>37</v>
      </c>
      <c r="R50" s="52" t="s">
        <v>37</v>
      </c>
      <c r="S50" s="55" t="s">
        <v>37</v>
      </c>
      <c r="T50" s="58"/>
      <c r="U50" s="59"/>
      <c r="V50" s="53" t="s">
        <v>137</v>
      </c>
      <c r="W50" s="53" t="s">
        <v>137</v>
      </c>
      <c r="X50" s="53" t="s">
        <v>138</v>
      </c>
      <c r="Y50" s="53" t="e">
        <f aca="false">VLOOKUP(O50,'Taux de valorisation'!A:O,13,FALSE())</f>
        <v>#N/A</v>
      </c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8" hidden="true" customHeight="false" outlineLevel="1" collapsed="false">
      <c r="A51" s="44" t="n">
        <v>1110</v>
      </c>
      <c r="B51" s="45" t="s">
        <v>143</v>
      </c>
      <c r="C51" s="46" t="s">
        <v>37</v>
      </c>
      <c r="D51" s="47" t="n">
        <v>3390</v>
      </c>
      <c r="E51" s="48" t="s">
        <v>149</v>
      </c>
      <c r="F51" s="49" t="s">
        <v>132</v>
      </c>
      <c r="G51" s="50" t="n">
        <v>3030</v>
      </c>
      <c r="H51" s="48" t="s">
        <v>145</v>
      </c>
      <c r="I51" s="49" t="s">
        <v>132</v>
      </c>
      <c r="J51" s="51" t="s">
        <v>37</v>
      </c>
      <c r="K51" s="52" t="s">
        <v>37</v>
      </c>
      <c r="L51" s="48"/>
      <c r="M51" s="53"/>
      <c r="N51" s="54"/>
      <c r="O51" s="48"/>
      <c r="P51" s="52" t="s">
        <v>37</v>
      </c>
      <c r="Q51" s="52" t="s">
        <v>37</v>
      </c>
      <c r="R51" s="52" t="s">
        <v>37</v>
      </c>
      <c r="S51" s="55" t="s">
        <v>37</v>
      </c>
      <c r="T51" s="58"/>
      <c r="U51" s="59"/>
      <c r="V51" s="53" t="s">
        <v>137</v>
      </c>
      <c r="W51" s="53" t="s">
        <v>137</v>
      </c>
      <c r="X51" s="53" t="s">
        <v>138</v>
      </c>
      <c r="Y51" s="53" t="e">
        <f aca="false">VLOOKUP(O51,'Taux de valorisation'!A:O,13,FALSE())</f>
        <v>#N/A</v>
      </c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8" hidden="true" customHeight="false" outlineLevel="1" collapsed="false">
      <c r="A52" s="44" t="n">
        <v>1110</v>
      </c>
      <c r="B52" s="45" t="s">
        <v>143</v>
      </c>
      <c r="C52" s="46" t="s">
        <v>37</v>
      </c>
      <c r="D52" s="47" t="n">
        <v>3250</v>
      </c>
      <c r="E52" s="48" t="s">
        <v>150</v>
      </c>
      <c r="F52" s="49" t="s">
        <v>132</v>
      </c>
      <c r="G52" s="50" t="n">
        <v>3030</v>
      </c>
      <c r="H52" s="48" t="s">
        <v>145</v>
      </c>
      <c r="I52" s="49" t="s">
        <v>132</v>
      </c>
      <c r="J52" s="51" t="s">
        <v>37</v>
      </c>
      <c r="K52" s="52" t="s">
        <v>37</v>
      </c>
      <c r="L52" s="48"/>
      <c r="M52" s="53"/>
      <c r="N52" s="54"/>
      <c r="O52" s="48"/>
      <c r="P52" s="52" t="s">
        <v>37</v>
      </c>
      <c r="Q52" s="52" t="s">
        <v>37</v>
      </c>
      <c r="R52" s="52" t="s">
        <v>37</v>
      </c>
      <c r="S52" s="55" t="s">
        <v>37</v>
      </c>
      <c r="T52" s="58"/>
      <c r="U52" s="59"/>
      <c r="V52" s="53" t="s">
        <v>137</v>
      </c>
      <c r="W52" s="53" t="s">
        <v>137</v>
      </c>
      <c r="X52" s="53" t="s">
        <v>138</v>
      </c>
      <c r="Y52" s="53" t="e">
        <f aca="false">VLOOKUP(O52,'Taux de valorisation'!A:O,13,FALSE())</f>
        <v>#N/A</v>
      </c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8" hidden="false" customHeight="false" outlineLevel="1" collapsed="false">
      <c r="A53" s="44" t="n">
        <v>1110</v>
      </c>
      <c r="B53" s="45" t="s">
        <v>143</v>
      </c>
      <c r="C53" s="46" t="s">
        <v>30</v>
      </c>
      <c r="D53" s="47"/>
      <c r="E53" s="48"/>
      <c r="F53" s="49"/>
      <c r="G53" s="50" t="n">
        <v>3030</v>
      </c>
      <c r="H53" s="48" t="s">
        <v>145</v>
      </c>
      <c r="I53" s="49" t="s">
        <v>132</v>
      </c>
      <c r="J53" s="51" t="s">
        <v>30</v>
      </c>
      <c r="K53" s="52" t="s">
        <v>30</v>
      </c>
      <c r="L53" s="48" t="s">
        <v>34</v>
      </c>
      <c r="M53" s="53"/>
      <c r="N53" s="54"/>
      <c r="O53" s="48" t="s">
        <v>134</v>
      </c>
      <c r="P53" s="52" t="s">
        <v>37</v>
      </c>
      <c r="Q53" s="52" t="s">
        <v>37</v>
      </c>
      <c r="R53" s="52" t="s">
        <v>37</v>
      </c>
      <c r="S53" s="55" t="s">
        <v>37</v>
      </c>
      <c r="T53" s="58"/>
      <c r="U53" s="57"/>
      <c r="V53" s="53"/>
      <c r="W53" s="53" t="s">
        <v>137</v>
      </c>
      <c r="X53" s="53" t="s">
        <v>138</v>
      </c>
      <c r="Y53" s="53" t="str">
        <f aca="false">VLOOKUP(O53,'Taux de valorisation'!A:O,13,FALSE())</f>
        <v>1</v>
      </c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8" hidden="false" customHeight="false" outlineLevel="1" collapsed="false">
      <c r="A54" s="44" t="n">
        <v>1120</v>
      </c>
      <c r="B54" s="45" t="s">
        <v>151</v>
      </c>
      <c r="C54" s="46" t="s">
        <v>30</v>
      </c>
      <c r="D54" s="47" t="n">
        <v>3260</v>
      </c>
      <c r="E54" s="48" t="s">
        <v>152</v>
      </c>
      <c r="F54" s="49" t="s">
        <v>132</v>
      </c>
      <c r="G54" s="50" t="n">
        <v>3060</v>
      </c>
      <c r="H54" s="48" t="s">
        <v>153</v>
      </c>
      <c r="I54" s="49" t="s">
        <v>132</v>
      </c>
      <c r="J54" s="51" t="s">
        <v>30</v>
      </c>
      <c r="K54" s="52" t="s">
        <v>30</v>
      </c>
      <c r="L54" s="48" t="s">
        <v>34</v>
      </c>
      <c r="M54" s="53"/>
      <c r="N54" s="54"/>
      <c r="O54" s="48" t="s">
        <v>134</v>
      </c>
      <c r="P54" s="52" t="s">
        <v>37</v>
      </c>
      <c r="Q54" s="52" t="s">
        <v>37</v>
      </c>
      <c r="R54" s="52" t="s">
        <v>37</v>
      </c>
      <c r="S54" s="55" t="s">
        <v>30</v>
      </c>
      <c r="T54" s="72" t="s">
        <v>135</v>
      </c>
      <c r="U54" s="57" t="s">
        <v>154</v>
      </c>
      <c r="V54" s="53" t="s">
        <v>137</v>
      </c>
      <c r="W54" s="53" t="s">
        <v>137</v>
      </c>
      <c r="X54" s="53" t="s">
        <v>138</v>
      </c>
      <c r="Y54" s="53" t="str">
        <f aca="false">VLOOKUP(O54,'Taux de valorisation'!A:O,13,FALSE())</f>
        <v>1</v>
      </c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8" hidden="true" customHeight="false" outlineLevel="1" collapsed="false">
      <c r="A55" s="44" t="n">
        <v>1120</v>
      </c>
      <c r="B55" s="45" t="s">
        <v>151</v>
      </c>
      <c r="C55" s="46" t="s">
        <v>37</v>
      </c>
      <c r="D55" s="47" t="s">
        <v>155</v>
      </c>
      <c r="E55" s="48" t="s">
        <v>156</v>
      </c>
      <c r="F55" s="49" t="s">
        <v>132</v>
      </c>
      <c r="G55" s="50" t="n">
        <v>3060</v>
      </c>
      <c r="H55" s="48" t="s">
        <v>153</v>
      </c>
      <c r="I55" s="49" t="s">
        <v>132</v>
      </c>
      <c r="J55" s="51" t="s">
        <v>37</v>
      </c>
      <c r="K55" s="52" t="s">
        <v>37</v>
      </c>
      <c r="L55" s="48"/>
      <c r="M55" s="53"/>
      <c r="N55" s="54"/>
      <c r="O55" s="48"/>
      <c r="P55" s="52" t="s">
        <v>37</v>
      </c>
      <c r="Q55" s="52" t="s">
        <v>37</v>
      </c>
      <c r="R55" s="52" t="s">
        <v>37</v>
      </c>
      <c r="S55" s="55" t="s">
        <v>37</v>
      </c>
      <c r="T55" s="58"/>
      <c r="U55" s="59"/>
      <c r="V55" s="53" t="s">
        <v>137</v>
      </c>
      <c r="W55" s="53" t="s">
        <v>137</v>
      </c>
      <c r="X55" s="53" t="s">
        <v>138</v>
      </c>
      <c r="Y55" s="53" t="e">
        <f aca="false">VLOOKUP(O55,'Taux de valorisation'!A:O,13,FALSE())</f>
        <v>#N/A</v>
      </c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8" hidden="true" customHeight="false" outlineLevel="1" collapsed="false">
      <c r="A56" s="44" t="n">
        <v>1120</v>
      </c>
      <c r="B56" s="45" t="s">
        <v>151</v>
      </c>
      <c r="C56" s="46" t="s">
        <v>37</v>
      </c>
      <c r="D56" s="47" t="n">
        <v>3270</v>
      </c>
      <c r="E56" s="48" t="s">
        <v>157</v>
      </c>
      <c r="F56" s="49" t="s">
        <v>132</v>
      </c>
      <c r="G56" s="50" t="n">
        <v>3060</v>
      </c>
      <c r="H56" s="48" t="s">
        <v>153</v>
      </c>
      <c r="I56" s="49" t="s">
        <v>132</v>
      </c>
      <c r="J56" s="51" t="s">
        <v>37</v>
      </c>
      <c r="K56" s="52" t="s">
        <v>37</v>
      </c>
      <c r="L56" s="48"/>
      <c r="M56" s="53"/>
      <c r="N56" s="54"/>
      <c r="O56" s="48"/>
      <c r="P56" s="52" t="s">
        <v>37</v>
      </c>
      <c r="Q56" s="52" t="s">
        <v>37</v>
      </c>
      <c r="R56" s="52" t="s">
        <v>37</v>
      </c>
      <c r="S56" s="55" t="s">
        <v>37</v>
      </c>
      <c r="T56" s="58"/>
      <c r="U56" s="59"/>
      <c r="V56" s="53" t="s">
        <v>137</v>
      </c>
      <c r="W56" s="53" t="s">
        <v>137</v>
      </c>
      <c r="X56" s="53" t="s">
        <v>138</v>
      </c>
      <c r="Y56" s="53" t="e">
        <f aca="false">VLOOKUP(O56,'Taux de valorisation'!A:O,13,FALSE())</f>
        <v>#N/A</v>
      </c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8" hidden="true" customHeight="false" outlineLevel="1" collapsed="false">
      <c r="A57" s="44" t="n">
        <v>1120</v>
      </c>
      <c r="B57" s="45" t="s">
        <v>151</v>
      </c>
      <c r="C57" s="46" t="s">
        <v>37</v>
      </c>
      <c r="D57" s="47" t="s">
        <v>158</v>
      </c>
      <c r="E57" s="48" t="s">
        <v>159</v>
      </c>
      <c r="F57" s="49" t="s">
        <v>132</v>
      </c>
      <c r="G57" s="50" t="n">
        <v>3060</v>
      </c>
      <c r="H57" s="48" t="s">
        <v>153</v>
      </c>
      <c r="I57" s="49" t="s">
        <v>132</v>
      </c>
      <c r="J57" s="51" t="s">
        <v>37</v>
      </c>
      <c r="K57" s="52" t="s">
        <v>37</v>
      </c>
      <c r="L57" s="48"/>
      <c r="M57" s="53"/>
      <c r="N57" s="54"/>
      <c r="O57" s="48"/>
      <c r="P57" s="52" t="s">
        <v>37</v>
      </c>
      <c r="Q57" s="52" t="s">
        <v>37</v>
      </c>
      <c r="R57" s="52" t="s">
        <v>37</v>
      </c>
      <c r="S57" s="55" t="s">
        <v>37</v>
      </c>
      <c r="T57" s="58"/>
      <c r="U57" s="59"/>
      <c r="V57" s="53" t="s">
        <v>137</v>
      </c>
      <c r="W57" s="53" t="s">
        <v>137</v>
      </c>
      <c r="X57" s="53" t="s">
        <v>138</v>
      </c>
      <c r="Y57" s="53" t="e">
        <f aca="false">VLOOKUP(O57,'Taux de valorisation'!A:O,13,FALSE())</f>
        <v>#N/A</v>
      </c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8" hidden="true" customHeight="false" outlineLevel="1" collapsed="false">
      <c r="A58" s="44" t="n">
        <v>1120</v>
      </c>
      <c r="B58" s="45" t="s">
        <v>151</v>
      </c>
      <c r="C58" s="46" t="s">
        <v>37</v>
      </c>
      <c r="D58" s="47" t="n">
        <v>3280</v>
      </c>
      <c r="E58" s="48" t="s">
        <v>160</v>
      </c>
      <c r="F58" s="49" t="s">
        <v>132</v>
      </c>
      <c r="G58" s="50" t="n">
        <v>3060</v>
      </c>
      <c r="H58" s="48" t="s">
        <v>153</v>
      </c>
      <c r="I58" s="49" t="s">
        <v>132</v>
      </c>
      <c r="J58" s="51" t="s">
        <v>37</v>
      </c>
      <c r="K58" s="52" t="s">
        <v>37</v>
      </c>
      <c r="L58" s="48"/>
      <c r="M58" s="53"/>
      <c r="N58" s="54"/>
      <c r="O58" s="48"/>
      <c r="P58" s="52" t="s">
        <v>37</v>
      </c>
      <c r="Q58" s="52" t="s">
        <v>37</v>
      </c>
      <c r="R58" s="52" t="s">
        <v>37</v>
      </c>
      <c r="S58" s="55" t="s">
        <v>37</v>
      </c>
      <c r="T58" s="58"/>
      <c r="U58" s="59"/>
      <c r="V58" s="53" t="s">
        <v>137</v>
      </c>
      <c r="W58" s="53" t="s">
        <v>137</v>
      </c>
      <c r="X58" s="53" t="s">
        <v>138</v>
      </c>
      <c r="Y58" s="53" t="e">
        <f aca="false">VLOOKUP(O58,'Taux de valorisation'!A:O,13,FALSE())</f>
        <v>#N/A</v>
      </c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8" hidden="false" customHeight="false" outlineLevel="1" collapsed="false">
      <c r="A59" s="44" t="n">
        <v>1120</v>
      </c>
      <c r="B59" s="45" t="s">
        <v>151</v>
      </c>
      <c r="C59" s="46" t="s">
        <v>30</v>
      </c>
      <c r="D59" s="47"/>
      <c r="E59" s="48"/>
      <c r="F59" s="49"/>
      <c r="G59" s="50" t="n">
        <v>3060</v>
      </c>
      <c r="H59" s="48" t="s">
        <v>153</v>
      </c>
      <c r="I59" s="49" t="s">
        <v>132</v>
      </c>
      <c r="J59" s="51" t="s">
        <v>30</v>
      </c>
      <c r="K59" s="52" t="s">
        <v>30</v>
      </c>
      <c r="L59" s="48" t="s">
        <v>34</v>
      </c>
      <c r="M59" s="53"/>
      <c r="N59" s="54"/>
      <c r="O59" s="48" t="s">
        <v>134</v>
      </c>
      <c r="P59" s="52" t="s">
        <v>37</v>
      </c>
      <c r="Q59" s="52" t="s">
        <v>37</v>
      </c>
      <c r="R59" s="52" t="s">
        <v>37</v>
      </c>
      <c r="S59" s="55" t="s">
        <v>37</v>
      </c>
      <c r="T59" s="58"/>
      <c r="U59" s="57"/>
      <c r="V59" s="53"/>
      <c r="W59" s="53" t="s">
        <v>137</v>
      </c>
      <c r="X59" s="53" t="s">
        <v>138</v>
      </c>
      <c r="Y59" s="53" t="str">
        <f aca="false">VLOOKUP(O59,'Taux de valorisation'!A:O,13,FALSE())</f>
        <v>1</v>
      </c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8" hidden="false" customHeight="false" outlineLevel="1" collapsed="false">
      <c r="A60" s="44" t="n">
        <v>1130</v>
      </c>
      <c r="B60" s="45" t="s">
        <v>161</v>
      </c>
      <c r="C60" s="46" t="s">
        <v>30</v>
      </c>
      <c r="D60" s="47" t="n">
        <v>3290</v>
      </c>
      <c r="E60" s="48" t="s">
        <v>162</v>
      </c>
      <c r="F60" s="49" t="s">
        <v>132</v>
      </c>
      <c r="G60" s="50" t="n">
        <v>3090</v>
      </c>
      <c r="H60" s="48" t="s">
        <v>163</v>
      </c>
      <c r="I60" s="49" t="s">
        <v>132</v>
      </c>
      <c r="J60" s="51" t="s">
        <v>30</v>
      </c>
      <c r="K60" s="52" t="s">
        <v>30</v>
      </c>
      <c r="L60" s="48" t="s">
        <v>34</v>
      </c>
      <c r="M60" s="53"/>
      <c r="N60" s="54"/>
      <c r="O60" s="48" t="s">
        <v>134</v>
      </c>
      <c r="P60" s="52" t="s">
        <v>37</v>
      </c>
      <c r="Q60" s="52" t="s">
        <v>37</v>
      </c>
      <c r="R60" s="52" t="s">
        <v>37</v>
      </c>
      <c r="S60" s="55" t="s">
        <v>30</v>
      </c>
      <c r="T60" s="72" t="s">
        <v>135</v>
      </c>
      <c r="U60" s="57" t="s">
        <v>164</v>
      </c>
      <c r="V60" s="53" t="s">
        <v>137</v>
      </c>
      <c r="W60" s="53" t="s">
        <v>137</v>
      </c>
      <c r="X60" s="53" t="s">
        <v>138</v>
      </c>
      <c r="Y60" s="53" t="str">
        <f aca="false">VLOOKUP(O60,'Taux de valorisation'!A:O,13,FALSE())</f>
        <v>1</v>
      </c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8" hidden="false" customHeight="false" outlineLevel="1" collapsed="false">
      <c r="A61" s="44" t="n">
        <v>1200</v>
      </c>
      <c r="B61" s="45" t="s">
        <v>165</v>
      </c>
      <c r="C61" s="46" t="s">
        <v>30</v>
      </c>
      <c r="D61" s="47" t="n">
        <v>3271</v>
      </c>
      <c r="E61" s="54" t="s">
        <v>166</v>
      </c>
      <c r="F61" s="49"/>
      <c r="G61" s="50" t="n">
        <v>3171</v>
      </c>
      <c r="H61" s="54" t="s">
        <v>167</v>
      </c>
      <c r="I61" s="49" t="s">
        <v>132</v>
      </c>
      <c r="J61" s="51" t="s">
        <v>30</v>
      </c>
      <c r="K61" s="52" t="s">
        <v>30</v>
      </c>
      <c r="L61" s="48" t="s">
        <v>34</v>
      </c>
      <c r="M61" s="53"/>
      <c r="N61" s="54"/>
      <c r="O61" s="48" t="s">
        <v>134</v>
      </c>
      <c r="P61" s="52" t="s">
        <v>37</v>
      </c>
      <c r="Q61" s="52" t="s">
        <v>37</v>
      </c>
      <c r="R61" s="52" t="s">
        <v>37</v>
      </c>
      <c r="S61" s="55" t="s">
        <v>37</v>
      </c>
      <c r="T61" s="82"/>
      <c r="U61" s="83" t="s">
        <v>168</v>
      </c>
      <c r="V61" s="53"/>
      <c r="W61" s="53" t="s">
        <v>137</v>
      </c>
      <c r="X61" s="53" t="s">
        <v>138</v>
      </c>
      <c r="Y61" s="53" t="str">
        <f aca="false">VLOOKUP(O61,'Taux de valorisation'!A:O,13,FALSE())</f>
        <v>1</v>
      </c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8" hidden="true" customHeight="false" outlineLevel="1" collapsed="false">
      <c r="A62" s="44" t="n">
        <v>1210</v>
      </c>
      <c r="B62" s="45" t="s">
        <v>169</v>
      </c>
      <c r="C62" s="46" t="s">
        <v>37</v>
      </c>
      <c r="D62" s="47" t="n">
        <v>3350</v>
      </c>
      <c r="E62" s="48" t="s">
        <v>170</v>
      </c>
      <c r="F62" s="49" t="s">
        <v>132</v>
      </c>
      <c r="G62" s="50" t="n">
        <v>3150</v>
      </c>
      <c r="H62" s="48" t="s">
        <v>171</v>
      </c>
      <c r="I62" s="49" t="s">
        <v>132</v>
      </c>
      <c r="J62" s="51" t="s">
        <v>37</v>
      </c>
      <c r="K62" s="52" t="s">
        <v>37</v>
      </c>
      <c r="L62" s="48"/>
      <c r="M62" s="53"/>
      <c r="N62" s="54"/>
      <c r="O62" s="48"/>
      <c r="P62" s="52" t="s">
        <v>37</v>
      </c>
      <c r="Q62" s="52" t="s">
        <v>37</v>
      </c>
      <c r="R62" s="52" t="s">
        <v>37</v>
      </c>
      <c r="S62" s="55" t="s">
        <v>37</v>
      </c>
      <c r="T62" s="58"/>
      <c r="U62" s="59"/>
      <c r="V62" s="53" t="s">
        <v>137</v>
      </c>
      <c r="W62" s="53" t="s">
        <v>137</v>
      </c>
      <c r="X62" s="53" t="s">
        <v>138</v>
      </c>
      <c r="Y62" s="53" t="e">
        <f aca="false">VLOOKUP(O62,'Taux de valorisation'!A:O,13,FALSE())</f>
        <v>#N/A</v>
      </c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8" hidden="false" customHeight="false" outlineLevel="1" collapsed="false">
      <c r="A63" s="44" t="n">
        <v>2100</v>
      </c>
      <c r="B63" s="45" t="s">
        <v>172</v>
      </c>
      <c r="C63" s="46" t="s">
        <v>30</v>
      </c>
      <c r="D63" s="47" t="n">
        <v>3320</v>
      </c>
      <c r="E63" s="48" t="s">
        <v>173</v>
      </c>
      <c r="F63" s="49" t="s">
        <v>132</v>
      </c>
      <c r="G63" s="50" t="n">
        <v>3120</v>
      </c>
      <c r="H63" s="48" t="s">
        <v>174</v>
      </c>
      <c r="I63" s="49" t="s">
        <v>132</v>
      </c>
      <c r="J63" s="51" t="s">
        <v>30</v>
      </c>
      <c r="K63" s="52" t="s">
        <v>30</v>
      </c>
      <c r="L63" s="48" t="s">
        <v>34</v>
      </c>
      <c r="M63" s="53"/>
      <c r="N63" s="54"/>
      <c r="O63" s="48" t="s">
        <v>134</v>
      </c>
      <c r="P63" s="52" t="s">
        <v>37</v>
      </c>
      <c r="Q63" s="52" t="s">
        <v>37</v>
      </c>
      <c r="R63" s="52" t="s">
        <v>37</v>
      </c>
      <c r="S63" s="55" t="s">
        <v>30</v>
      </c>
      <c r="T63" s="72" t="s">
        <v>135</v>
      </c>
      <c r="U63" s="57" t="s">
        <v>175</v>
      </c>
      <c r="V63" s="53" t="s">
        <v>137</v>
      </c>
      <c r="W63" s="53" t="s">
        <v>137</v>
      </c>
      <c r="X63" s="53" t="s">
        <v>138</v>
      </c>
      <c r="Y63" s="53" t="str">
        <f aca="false">VLOOKUP(O63,'Taux de valorisation'!A:O,13,FALSE())</f>
        <v>1</v>
      </c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8" hidden="true" customHeight="false" outlineLevel="1" collapsed="false">
      <c r="A64" s="44" t="n">
        <v>2110</v>
      </c>
      <c r="B64" s="45" t="s">
        <v>176</v>
      </c>
      <c r="C64" s="46" t="s">
        <v>37</v>
      </c>
      <c r="D64" s="47" t="s">
        <v>177</v>
      </c>
      <c r="E64" s="48" t="s">
        <v>178</v>
      </c>
      <c r="F64" s="49" t="s">
        <v>132</v>
      </c>
      <c r="G64" s="50" t="s">
        <v>179</v>
      </c>
      <c r="H64" s="48" t="s">
        <v>180</v>
      </c>
      <c r="I64" s="49" t="s">
        <v>132</v>
      </c>
      <c r="J64" s="51" t="s">
        <v>37</v>
      </c>
      <c r="K64" s="52" t="s">
        <v>37</v>
      </c>
      <c r="L64" s="48"/>
      <c r="M64" s="53"/>
      <c r="N64" s="54"/>
      <c r="O64" s="48"/>
      <c r="P64" s="52" t="s">
        <v>37</v>
      </c>
      <c r="Q64" s="52" t="s">
        <v>37</v>
      </c>
      <c r="R64" s="52" t="s">
        <v>37</v>
      </c>
      <c r="S64" s="55" t="s">
        <v>37</v>
      </c>
      <c r="T64" s="58"/>
      <c r="U64" s="59"/>
      <c r="V64" s="53" t="s">
        <v>137</v>
      </c>
      <c r="W64" s="53" t="s">
        <v>137</v>
      </c>
      <c r="X64" s="53" t="s">
        <v>138</v>
      </c>
      <c r="Y64" s="53" t="e">
        <f aca="false">VLOOKUP(O64,'Taux de valorisation'!A:O,13,FALSE())</f>
        <v>#N/A</v>
      </c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8" hidden="true" customHeight="false" outlineLevel="1" collapsed="false">
      <c r="A65" s="44" t="n">
        <v>2120</v>
      </c>
      <c r="B65" s="45" t="s">
        <v>181</v>
      </c>
      <c r="C65" s="46" t="s">
        <v>37</v>
      </c>
      <c r="D65" s="47" t="s">
        <v>182</v>
      </c>
      <c r="E65" s="48" t="s">
        <v>183</v>
      </c>
      <c r="F65" s="49" t="s">
        <v>132</v>
      </c>
      <c r="G65" s="50" t="s">
        <v>184</v>
      </c>
      <c r="H65" s="48" t="s">
        <v>185</v>
      </c>
      <c r="I65" s="49" t="s">
        <v>132</v>
      </c>
      <c r="J65" s="51" t="s">
        <v>37</v>
      </c>
      <c r="K65" s="52" t="s">
        <v>37</v>
      </c>
      <c r="L65" s="48"/>
      <c r="M65" s="53"/>
      <c r="N65" s="54"/>
      <c r="O65" s="48"/>
      <c r="P65" s="52" t="s">
        <v>37</v>
      </c>
      <c r="Q65" s="52" t="s">
        <v>37</v>
      </c>
      <c r="R65" s="52" t="s">
        <v>37</v>
      </c>
      <c r="S65" s="55" t="s">
        <v>37</v>
      </c>
      <c r="T65" s="58"/>
      <c r="U65" s="59"/>
      <c r="V65" s="53" t="s">
        <v>137</v>
      </c>
      <c r="W65" s="53" t="s">
        <v>137</v>
      </c>
      <c r="X65" s="53" t="s">
        <v>138</v>
      </c>
      <c r="Y65" s="53" t="e">
        <f aca="false">VLOOKUP(O65,'Taux de valorisation'!A:O,13,FALSE())</f>
        <v>#N/A</v>
      </c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8" hidden="false" customHeight="false" outlineLevel="1" collapsed="false">
      <c r="A66" s="44" t="n">
        <v>2130</v>
      </c>
      <c r="B66" s="45" t="s">
        <v>186</v>
      </c>
      <c r="C66" s="46" t="s">
        <v>30</v>
      </c>
      <c r="D66" s="47" t="n">
        <v>3330</v>
      </c>
      <c r="E66" s="84" t="s">
        <v>187</v>
      </c>
      <c r="F66" s="49" t="s">
        <v>132</v>
      </c>
      <c r="G66" s="50" t="n">
        <v>3130</v>
      </c>
      <c r="H66" s="48" t="s">
        <v>188</v>
      </c>
      <c r="I66" s="49" t="s">
        <v>132</v>
      </c>
      <c r="J66" s="51" t="s">
        <v>30</v>
      </c>
      <c r="K66" s="52" t="s">
        <v>30</v>
      </c>
      <c r="L66" s="48" t="s">
        <v>34</v>
      </c>
      <c r="M66" s="84"/>
      <c r="N66" s="54"/>
      <c r="O66" s="48" t="s">
        <v>134</v>
      </c>
      <c r="P66" s="52" t="s">
        <v>37</v>
      </c>
      <c r="Q66" s="52" t="s">
        <v>37</v>
      </c>
      <c r="R66" s="52" t="s">
        <v>37</v>
      </c>
      <c r="S66" s="55" t="s">
        <v>37</v>
      </c>
      <c r="T66" s="72"/>
      <c r="U66" s="57" t="s">
        <v>189</v>
      </c>
      <c r="V66" s="53"/>
      <c r="W66" s="53" t="s">
        <v>137</v>
      </c>
      <c r="X66" s="53" t="s">
        <v>138</v>
      </c>
      <c r="Y66" s="53" t="str">
        <f aca="false">VLOOKUP(O66,'Taux de valorisation'!A:O,13,FALSE())</f>
        <v>1</v>
      </c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18" hidden="false" customHeight="false" outlineLevel="1" collapsed="false">
      <c r="A67" s="44" t="n">
        <v>2140</v>
      </c>
      <c r="B67" s="45" t="s">
        <v>190</v>
      </c>
      <c r="C67" s="46" t="s">
        <v>30</v>
      </c>
      <c r="D67" s="47" t="n">
        <v>3321</v>
      </c>
      <c r="E67" s="84" t="s">
        <v>191</v>
      </c>
      <c r="F67" s="49" t="s">
        <v>132</v>
      </c>
      <c r="G67" s="50" t="n">
        <v>3121</v>
      </c>
      <c r="H67" s="48" t="s">
        <v>192</v>
      </c>
      <c r="I67" s="49" t="s">
        <v>132</v>
      </c>
      <c r="J67" s="51" t="s">
        <v>30</v>
      </c>
      <c r="K67" s="52" t="s">
        <v>30</v>
      </c>
      <c r="L67" s="48" t="s">
        <v>34</v>
      </c>
      <c r="M67" s="53"/>
      <c r="N67" s="54"/>
      <c r="O67" s="48" t="s">
        <v>134</v>
      </c>
      <c r="P67" s="52" t="s">
        <v>37</v>
      </c>
      <c r="Q67" s="52" t="s">
        <v>37</v>
      </c>
      <c r="R67" s="52" t="s">
        <v>37</v>
      </c>
      <c r="S67" s="55" t="s">
        <v>30</v>
      </c>
      <c r="T67" s="72" t="s">
        <v>135</v>
      </c>
      <c r="U67" s="57" t="s">
        <v>193</v>
      </c>
      <c r="V67" s="53"/>
      <c r="W67" s="53" t="s">
        <v>137</v>
      </c>
      <c r="X67" s="53" t="s">
        <v>138</v>
      </c>
      <c r="Y67" s="53" t="str">
        <f aca="false">VLOOKUP(O67,'Taux de valorisation'!A:O,13,FALSE())</f>
        <v>1</v>
      </c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99" customFormat="true" ht="18" hidden="true" customHeight="false" outlineLevel="1" collapsed="false">
      <c r="A68" s="85" t="n">
        <v>2150</v>
      </c>
      <c r="B68" s="86" t="s">
        <v>194</v>
      </c>
      <c r="C68" s="87" t="s">
        <v>37</v>
      </c>
      <c r="D68" s="88" t="n">
        <v>3340</v>
      </c>
      <c r="E68" s="89" t="s">
        <v>195</v>
      </c>
      <c r="F68" s="90" t="s">
        <v>132</v>
      </c>
      <c r="G68" s="88" t="n">
        <v>3140</v>
      </c>
      <c r="H68" s="89" t="s">
        <v>196</v>
      </c>
      <c r="I68" s="91" t="s">
        <v>132</v>
      </c>
      <c r="J68" s="92" t="s">
        <v>30</v>
      </c>
      <c r="K68" s="93" t="s">
        <v>30</v>
      </c>
      <c r="L68" s="94" t="s">
        <v>34</v>
      </c>
      <c r="M68" s="95"/>
      <c r="N68" s="94"/>
      <c r="O68" s="94" t="s">
        <v>134</v>
      </c>
      <c r="P68" s="93"/>
      <c r="Q68" s="93"/>
      <c r="R68" s="93"/>
      <c r="S68" s="96"/>
      <c r="T68" s="97"/>
      <c r="U68" s="98" t="s">
        <v>175</v>
      </c>
      <c r="V68" s="95"/>
      <c r="W68" s="95"/>
      <c r="X68" s="95"/>
      <c r="Y68" s="95"/>
    </row>
    <row r="69" customFormat="false" ht="13.5" hidden="false" customHeight="true" outlineLevel="1" collapsed="false">
      <c r="A69" s="60" t="s">
        <v>71</v>
      </c>
      <c r="B69" s="60"/>
      <c r="C69" s="61"/>
      <c r="D69" s="62"/>
      <c r="E69" s="63"/>
      <c r="F69" s="64"/>
      <c r="G69" s="65"/>
      <c r="H69" s="63"/>
      <c r="I69" s="66"/>
      <c r="J69" s="62"/>
      <c r="K69" s="67"/>
      <c r="L69" s="63"/>
      <c r="M69" s="76"/>
      <c r="N69" s="63"/>
      <c r="O69" s="63"/>
      <c r="P69" s="63"/>
      <c r="Q69" s="63"/>
      <c r="R69" s="63"/>
      <c r="S69" s="64"/>
      <c r="T69" s="58"/>
      <c r="U69" s="59"/>
      <c r="V69" s="76"/>
      <c r="W69" s="76"/>
      <c r="X69" s="76"/>
      <c r="Y69" s="76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</row>
    <row r="70" customFormat="false" ht="18" hidden="false" customHeight="false" outlineLevel="1" collapsed="false">
      <c r="A70" s="70" t="n">
        <v>1101</v>
      </c>
      <c r="B70" s="54" t="s">
        <v>197</v>
      </c>
      <c r="C70" s="46" t="s">
        <v>30</v>
      </c>
      <c r="D70" s="47"/>
      <c r="E70" s="48"/>
      <c r="F70" s="49"/>
      <c r="G70" s="50" t="n">
        <v>3001</v>
      </c>
      <c r="H70" s="54" t="s">
        <v>198</v>
      </c>
      <c r="I70" s="49"/>
      <c r="J70" s="51"/>
      <c r="K70" s="52"/>
      <c r="L70" s="48"/>
      <c r="M70" s="53"/>
      <c r="N70" s="54"/>
      <c r="O70" s="48"/>
      <c r="P70" s="52"/>
      <c r="Q70" s="52"/>
      <c r="R70" s="52"/>
      <c r="S70" s="55" t="s">
        <v>30</v>
      </c>
      <c r="T70" s="72" t="s">
        <v>135</v>
      </c>
      <c r="U70" s="57" t="s">
        <v>199</v>
      </c>
      <c r="V70" s="53"/>
      <c r="W70" s="53"/>
      <c r="X70" s="53"/>
      <c r="Y70" s="53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</row>
    <row r="71" customFormat="false" ht="18" hidden="true" customHeight="false" outlineLevel="1" collapsed="false">
      <c r="A71" s="70"/>
      <c r="B71" s="54"/>
      <c r="C71" s="46" t="s">
        <v>37</v>
      </c>
      <c r="D71" s="47"/>
      <c r="E71" s="48"/>
      <c r="F71" s="49"/>
      <c r="G71" s="50"/>
      <c r="H71" s="48"/>
      <c r="I71" s="49"/>
      <c r="J71" s="51" t="s">
        <v>37</v>
      </c>
      <c r="K71" s="52" t="s">
        <v>37</v>
      </c>
      <c r="L71" s="48"/>
      <c r="M71" s="53"/>
      <c r="N71" s="54"/>
      <c r="O71" s="48"/>
      <c r="P71" s="52" t="s">
        <v>37</v>
      </c>
      <c r="Q71" s="52" t="s">
        <v>37</v>
      </c>
      <c r="R71" s="52" t="s">
        <v>37</v>
      </c>
      <c r="S71" s="55" t="s">
        <v>37</v>
      </c>
      <c r="T71" s="58"/>
      <c r="U71" s="59"/>
      <c r="V71" s="53"/>
      <c r="W71" s="53"/>
      <c r="X71" s="53" t="s">
        <v>138</v>
      </c>
      <c r="Y71" s="53" t="e">
        <f aca="false">VLOOKUP(O71,'Taux de valorisation'!A:O,13,FALSE())</f>
        <v>#N/A</v>
      </c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</row>
    <row r="72" customFormat="false" ht="18" hidden="true" customHeight="false" outlineLevel="1" collapsed="false">
      <c r="A72" s="70"/>
      <c r="B72" s="48"/>
      <c r="C72" s="46" t="s">
        <v>37</v>
      </c>
      <c r="D72" s="47"/>
      <c r="E72" s="48"/>
      <c r="F72" s="49"/>
      <c r="G72" s="50"/>
      <c r="H72" s="48"/>
      <c r="I72" s="49"/>
      <c r="J72" s="51" t="s">
        <v>37</v>
      </c>
      <c r="K72" s="52" t="s">
        <v>37</v>
      </c>
      <c r="L72" s="48"/>
      <c r="M72" s="53"/>
      <c r="N72" s="54"/>
      <c r="O72" s="48"/>
      <c r="P72" s="52" t="s">
        <v>37</v>
      </c>
      <c r="Q72" s="52" t="s">
        <v>37</v>
      </c>
      <c r="R72" s="52" t="s">
        <v>37</v>
      </c>
      <c r="S72" s="55" t="s">
        <v>37</v>
      </c>
      <c r="T72" s="58"/>
      <c r="U72" s="59"/>
      <c r="V72" s="53"/>
      <c r="W72" s="53"/>
      <c r="X72" s="53" t="s">
        <v>138</v>
      </c>
      <c r="Y72" s="53" t="e">
        <f aca="false">VLOOKUP(O72,'Taux de valorisation'!A:O,13,FALSE())</f>
        <v>#N/A</v>
      </c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</row>
    <row r="73" customFormat="false" ht="18" hidden="true" customHeight="false" outlineLevel="1" collapsed="false">
      <c r="A73" s="70"/>
      <c r="B73" s="48"/>
      <c r="C73" s="46" t="s">
        <v>37</v>
      </c>
      <c r="D73" s="47"/>
      <c r="E73" s="48"/>
      <c r="F73" s="49"/>
      <c r="G73" s="50"/>
      <c r="H73" s="48"/>
      <c r="I73" s="49"/>
      <c r="J73" s="51" t="s">
        <v>37</v>
      </c>
      <c r="K73" s="52" t="s">
        <v>37</v>
      </c>
      <c r="L73" s="48"/>
      <c r="M73" s="53"/>
      <c r="N73" s="54"/>
      <c r="O73" s="48"/>
      <c r="P73" s="52" t="s">
        <v>37</v>
      </c>
      <c r="Q73" s="52" t="s">
        <v>37</v>
      </c>
      <c r="R73" s="52" t="s">
        <v>37</v>
      </c>
      <c r="S73" s="55" t="s">
        <v>37</v>
      </c>
      <c r="T73" s="58"/>
      <c r="U73" s="59"/>
      <c r="V73" s="53"/>
      <c r="W73" s="53"/>
      <c r="X73" s="53" t="s">
        <v>138</v>
      </c>
      <c r="Y73" s="53" t="e">
        <f aca="false">VLOOKUP(O73,'Taux de valorisation'!A:O,13,FALSE())</f>
        <v>#N/A</v>
      </c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</row>
    <row r="74" customFormat="false" ht="12.75" hidden="false" customHeight="false" outlineLevel="0" collapsed="false">
      <c r="A74" s="81" t="s">
        <v>200</v>
      </c>
      <c r="B74" s="75" t="s">
        <v>201</v>
      </c>
      <c r="C74" s="61"/>
      <c r="D74" s="62"/>
      <c r="E74" s="63"/>
      <c r="F74" s="64"/>
      <c r="G74" s="65"/>
      <c r="H74" s="63"/>
      <c r="I74" s="66"/>
      <c r="J74" s="62"/>
      <c r="K74" s="67"/>
      <c r="L74" s="63"/>
      <c r="M74" s="76"/>
      <c r="N74" s="63"/>
      <c r="O74" s="63"/>
      <c r="P74" s="63"/>
      <c r="Q74" s="63"/>
      <c r="R74" s="63"/>
      <c r="S74" s="64"/>
      <c r="T74" s="58"/>
      <c r="U74" s="59"/>
      <c r="V74" s="76"/>
      <c r="W74" s="76"/>
      <c r="X74" s="76"/>
      <c r="Y74" s="76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</row>
    <row r="75" customFormat="false" ht="18" hidden="false" customHeight="false" outlineLevel="1" collapsed="false">
      <c r="A75" s="44" t="n">
        <v>3100</v>
      </c>
      <c r="B75" s="45" t="s">
        <v>202</v>
      </c>
      <c r="C75" s="46" t="s">
        <v>30</v>
      </c>
      <c r="D75" s="100" t="n">
        <v>3850</v>
      </c>
      <c r="E75" s="78" t="s">
        <v>203</v>
      </c>
      <c r="F75" s="49" t="s">
        <v>32</v>
      </c>
      <c r="G75" s="101" t="n">
        <v>3600</v>
      </c>
      <c r="H75" s="78" t="s">
        <v>204</v>
      </c>
      <c r="I75" s="49" t="s">
        <v>32</v>
      </c>
      <c r="J75" s="51" t="s">
        <v>37</v>
      </c>
      <c r="K75" s="52" t="s">
        <v>37</v>
      </c>
      <c r="L75" s="48" t="s">
        <v>34</v>
      </c>
      <c r="M75" s="53"/>
      <c r="N75" s="54"/>
      <c r="O75" s="48" t="s">
        <v>36</v>
      </c>
      <c r="P75" s="52" t="s">
        <v>37</v>
      </c>
      <c r="Q75" s="52" t="s">
        <v>37</v>
      </c>
      <c r="R75" s="52" t="s">
        <v>37</v>
      </c>
      <c r="S75" s="55" t="s">
        <v>37</v>
      </c>
      <c r="T75" s="58"/>
      <c r="U75" s="57" t="s">
        <v>205</v>
      </c>
      <c r="V75" s="53" t="s">
        <v>206</v>
      </c>
      <c r="W75" s="53" t="s">
        <v>206</v>
      </c>
      <c r="X75" s="53" t="s">
        <v>207</v>
      </c>
      <c r="Y75" s="53" t="str">
        <f aca="false">VLOOKUP(O75,'Taux de valorisation'!A:O,14,FALSE())</f>
        <v>8</v>
      </c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</row>
    <row r="76" customFormat="false" ht="18" hidden="true" customHeight="false" outlineLevel="1" collapsed="false">
      <c r="A76" s="44" t="n">
        <v>3200</v>
      </c>
      <c r="B76" s="45" t="s">
        <v>208</v>
      </c>
      <c r="C76" s="46" t="s">
        <v>37</v>
      </c>
      <c r="D76" s="47" t="s">
        <v>209</v>
      </c>
      <c r="E76" s="48" t="s">
        <v>113</v>
      </c>
      <c r="F76" s="49" t="s">
        <v>32</v>
      </c>
      <c r="G76" s="50" t="s">
        <v>210</v>
      </c>
      <c r="H76" s="48" t="s">
        <v>115</v>
      </c>
      <c r="I76" s="49" t="s">
        <v>32</v>
      </c>
      <c r="J76" s="51" t="s">
        <v>37</v>
      </c>
      <c r="K76" s="52" t="s">
        <v>37</v>
      </c>
      <c r="L76" s="48"/>
      <c r="M76" s="53"/>
      <c r="N76" s="54"/>
      <c r="O76" s="48"/>
      <c r="P76" s="52" t="s">
        <v>37</v>
      </c>
      <c r="Q76" s="52" t="s">
        <v>37</v>
      </c>
      <c r="R76" s="52" t="s">
        <v>37</v>
      </c>
      <c r="S76" s="55" t="s">
        <v>37</v>
      </c>
      <c r="T76" s="58"/>
      <c r="U76" s="59"/>
      <c r="V76" s="53" t="s">
        <v>206</v>
      </c>
      <c r="W76" s="53" t="s">
        <v>206</v>
      </c>
      <c r="X76" s="53" t="s">
        <v>207</v>
      </c>
      <c r="Y76" s="53" t="e">
        <f aca="false">VLOOKUP(O76,'Taux de valorisation'!A:O,14,FALSE())</f>
        <v>#N/A</v>
      </c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</row>
    <row r="77" s="111" customFormat="true" ht="18" hidden="false" customHeight="false" outlineLevel="1" collapsed="false">
      <c r="A77" s="102" t="n">
        <v>3110</v>
      </c>
      <c r="B77" s="103" t="s">
        <v>211</v>
      </c>
      <c r="C77" s="104" t="s">
        <v>30</v>
      </c>
      <c r="D77" s="100" t="n">
        <v>3960</v>
      </c>
      <c r="E77" s="78" t="s">
        <v>212</v>
      </c>
      <c r="F77" s="105" t="s">
        <v>32</v>
      </c>
      <c r="G77" s="101" t="n">
        <v>3460</v>
      </c>
      <c r="H77" s="78" t="s">
        <v>213</v>
      </c>
      <c r="I77" s="105" t="s">
        <v>32</v>
      </c>
      <c r="J77" s="106" t="s">
        <v>37</v>
      </c>
      <c r="K77" s="107" t="s">
        <v>30</v>
      </c>
      <c r="L77" s="78" t="s">
        <v>34</v>
      </c>
      <c r="M77" s="108"/>
      <c r="N77" s="78"/>
      <c r="O77" s="78" t="s">
        <v>36</v>
      </c>
      <c r="P77" s="107" t="s">
        <v>37</v>
      </c>
      <c r="Q77" s="107" t="s">
        <v>37</v>
      </c>
      <c r="R77" s="107" t="s">
        <v>37</v>
      </c>
      <c r="S77" s="109" t="s">
        <v>37</v>
      </c>
      <c r="T77" s="110"/>
      <c r="U77" s="57" t="s">
        <v>214</v>
      </c>
      <c r="V77" s="108" t="s">
        <v>206</v>
      </c>
      <c r="W77" s="108" t="s">
        <v>206</v>
      </c>
      <c r="X77" s="108" t="s">
        <v>207</v>
      </c>
      <c r="Y77" s="108" t="str">
        <f aca="false">VLOOKUP(O77,'Taux de valorisation'!A:O,14,FALSE())</f>
        <v>8</v>
      </c>
    </row>
    <row r="78" customFormat="false" ht="18" hidden="false" customHeight="false" outlineLevel="1" collapsed="false">
      <c r="A78" s="44" t="n">
        <v>3120</v>
      </c>
      <c r="B78" s="45" t="s">
        <v>215</v>
      </c>
      <c r="C78" s="46" t="s">
        <v>30</v>
      </c>
      <c r="D78" s="100" t="n">
        <v>3970</v>
      </c>
      <c r="E78" s="78" t="s">
        <v>216</v>
      </c>
      <c r="F78" s="49" t="s">
        <v>32</v>
      </c>
      <c r="G78" s="101" t="n">
        <v>3470</v>
      </c>
      <c r="H78" s="78" t="s">
        <v>217</v>
      </c>
      <c r="I78" s="49" t="s">
        <v>32</v>
      </c>
      <c r="J78" s="51" t="s">
        <v>37</v>
      </c>
      <c r="K78" s="52" t="s">
        <v>30</v>
      </c>
      <c r="L78" s="48" t="s">
        <v>34</v>
      </c>
      <c r="M78" s="53"/>
      <c r="N78" s="54"/>
      <c r="O78" s="48" t="s">
        <v>36</v>
      </c>
      <c r="P78" s="52" t="s">
        <v>37</v>
      </c>
      <c r="Q78" s="52" t="s">
        <v>37</v>
      </c>
      <c r="R78" s="52" t="s">
        <v>37</v>
      </c>
      <c r="S78" s="55" t="s">
        <v>37</v>
      </c>
      <c r="T78" s="72"/>
      <c r="U78" s="112" t="s">
        <v>218</v>
      </c>
      <c r="V78" s="53" t="s">
        <v>206</v>
      </c>
      <c r="W78" s="53" t="s">
        <v>206</v>
      </c>
      <c r="X78" s="53" t="s">
        <v>207</v>
      </c>
      <c r="Y78" s="53" t="str">
        <f aca="false">VLOOKUP(O78,'Taux de valorisation'!A:O,14,FALSE())</f>
        <v>8</v>
      </c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</row>
    <row r="79" customFormat="false" ht="18" hidden="true" customHeight="false" outlineLevel="1" collapsed="false">
      <c r="A79" s="44" t="n">
        <v>3130</v>
      </c>
      <c r="B79" s="45" t="s">
        <v>219</v>
      </c>
      <c r="C79" s="46" t="s">
        <v>37</v>
      </c>
      <c r="D79" s="47" t="n">
        <v>3920</v>
      </c>
      <c r="E79" s="48" t="s">
        <v>220</v>
      </c>
      <c r="F79" s="49" t="s">
        <v>32</v>
      </c>
      <c r="G79" s="50" t="n">
        <v>3680</v>
      </c>
      <c r="H79" s="48" t="s">
        <v>221</v>
      </c>
      <c r="I79" s="49" t="s">
        <v>32</v>
      </c>
      <c r="J79" s="51" t="s">
        <v>30</v>
      </c>
      <c r="K79" s="52" t="s">
        <v>30</v>
      </c>
      <c r="L79" s="48" t="s">
        <v>34</v>
      </c>
      <c r="M79" s="53"/>
      <c r="N79" s="54"/>
      <c r="O79" s="48" t="s">
        <v>58</v>
      </c>
      <c r="P79" s="52" t="s">
        <v>37</v>
      </c>
      <c r="Q79" s="52" t="s">
        <v>37</v>
      </c>
      <c r="R79" s="52" t="s">
        <v>37</v>
      </c>
      <c r="S79" s="55" t="s">
        <v>37</v>
      </c>
      <c r="T79" s="72"/>
      <c r="U79" s="73"/>
      <c r="V79" s="53" t="s">
        <v>206</v>
      </c>
      <c r="W79" s="53" t="s">
        <v>206</v>
      </c>
      <c r="X79" s="53" t="s">
        <v>207</v>
      </c>
      <c r="Y79" s="53" t="str">
        <f aca="false">VLOOKUP(O79,'Taux de valorisation'!A:O,14,FALSE())</f>
        <v>6</v>
      </c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</row>
    <row r="80" customFormat="false" ht="18" hidden="true" customHeight="false" outlineLevel="1" collapsed="false">
      <c r="A80" s="44" t="n">
        <v>3140</v>
      </c>
      <c r="B80" s="45" t="s">
        <v>222</v>
      </c>
      <c r="C80" s="46" t="s">
        <v>37</v>
      </c>
      <c r="D80" s="47" t="n">
        <v>3890</v>
      </c>
      <c r="E80" s="48" t="s">
        <v>223</v>
      </c>
      <c r="F80" s="49" t="s">
        <v>32</v>
      </c>
      <c r="G80" s="50" t="n">
        <v>3650</v>
      </c>
      <c r="H80" s="48" t="s">
        <v>224</v>
      </c>
      <c r="I80" s="49" t="s">
        <v>32</v>
      </c>
      <c r="J80" s="51" t="s">
        <v>37</v>
      </c>
      <c r="K80" s="52" t="s">
        <v>37</v>
      </c>
      <c r="L80" s="48"/>
      <c r="M80" s="53"/>
      <c r="N80" s="54"/>
      <c r="O80" s="48"/>
      <c r="P80" s="52" t="s">
        <v>37</v>
      </c>
      <c r="Q80" s="52" t="s">
        <v>37</v>
      </c>
      <c r="R80" s="52" t="s">
        <v>37</v>
      </c>
      <c r="S80" s="55" t="s">
        <v>37</v>
      </c>
      <c r="T80" s="58"/>
      <c r="U80" s="59"/>
      <c r="V80" s="53" t="s">
        <v>206</v>
      </c>
      <c r="W80" s="53" t="s">
        <v>206</v>
      </c>
      <c r="X80" s="53" t="s">
        <v>207</v>
      </c>
      <c r="Y80" s="53" t="e">
        <f aca="false">VLOOKUP(O80,'Taux de valorisation'!A:O,14,FALSE())</f>
        <v>#N/A</v>
      </c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</row>
    <row r="81" customFormat="false" ht="18" hidden="false" customHeight="false" outlineLevel="1" collapsed="false">
      <c r="A81" s="113" t="n">
        <v>3150</v>
      </c>
      <c r="B81" s="45" t="s">
        <v>225</v>
      </c>
      <c r="C81" s="46" t="s">
        <v>30</v>
      </c>
      <c r="D81" s="100" t="n">
        <v>3880</v>
      </c>
      <c r="E81" s="78" t="s">
        <v>226</v>
      </c>
      <c r="F81" s="49" t="s">
        <v>32</v>
      </c>
      <c r="G81" s="101" t="n">
        <v>3640</v>
      </c>
      <c r="H81" s="78" t="s">
        <v>227</v>
      </c>
      <c r="I81" s="49" t="s">
        <v>32</v>
      </c>
      <c r="J81" s="51" t="s">
        <v>30</v>
      </c>
      <c r="K81" s="52" t="s">
        <v>30</v>
      </c>
      <c r="L81" s="48" t="s">
        <v>34</v>
      </c>
      <c r="M81" s="53"/>
      <c r="N81" s="54"/>
      <c r="O81" s="48" t="s">
        <v>36</v>
      </c>
      <c r="P81" s="52" t="s">
        <v>37</v>
      </c>
      <c r="Q81" s="52" t="s">
        <v>37</v>
      </c>
      <c r="R81" s="52" t="s">
        <v>37</v>
      </c>
      <c r="S81" s="55" t="s">
        <v>37</v>
      </c>
      <c r="T81" s="72"/>
      <c r="U81" s="57" t="s">
        <v>228</v>
      </c>
      <c r="V81" s="53" t="s">
        <v>206</v>
      </c>
      <c r="W81" s="53" t="s">
        <v>206</v>
      </c>
      <c r="X81" s="53" t="s">
        <v>207</v>
      </c>
      <c r="Y81" s="53" t="str">
        <f aca="false">VLOOKUP(O81,'Taux de valorisation'!A:O,14,FALSE())</f>
        <v>8</v>
      </c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</row>
    <row r="82" customFormat="false" ht="18" hidden="false" customHeight="false" outlineLevel="1" collapsed="false">
      <c r="A82" s="113" t="n">
        <v>3160</v>
      </c>
      <c r="B82" s="45" t="s">
        <v>229</v>
      </c>
      <c r="C82" s="46" t="s">
        <v>30</v>
      </c>
      <c r="D82" s="100" t="n">
        <v>3880</v>
      </c>
      <c r="E82" s="78" t="s">
        <v>226</v>
      </c>
      <c r="F82" s="49" t="s">
        <v>32</v>
      </c>
      <c r="G82" s="101" t="n">
        <v>3640</v>
      </c>
      <c r="H82" s="78" t="s">
        <v>227</v>
      </c>
      <c r="I82" s="49" t="s">
        <v>32</v>
      </c>
      <c r="J82" s="51" t="s">
        <v>30</v>
      </c>
      <c r="K82" s="52" t="s">
        <v>30</v>
      </c>
      <c r="L82" s="48" t="s">
        <v>34</v>
      </c>
      <c r="M82" s="53"/>
      <c r="N82" s="54"/>
      <c r="O82" s="48" t="s">
        <v>36</v>
      </c>
      <c r="P82" s="52" t="s">
        <v>37</v>
      </c>
      <c r="Q82" s="52" t="s">
        <v>37</v>
      </c>
      <c r="R82" s="52" t="s">
        <v>37</v>
      </c>
      <c r="S82" s="55" t="s">
        <v>37</v>
      </c>
      <c r="T82" s="72"/>
      <c r="U82" s="57" t="s">
        <v>230</v>
      </c>
      <c r="V82" s="53" t="s">
        <v>206</v>
      </c>
      <c r="W82" s="53" t="s">
        <v>206</v>
      </c>
      <c r="X82" s="53" t="s">
        <v>207</v>
      </c>
      <c r="Y82" s="53" t="str">
        <f aca="false">VLOOKUP(O82,'Taux de valorisation'!A:O,14,FALSE())</f>
        <v>8</v>
      </c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</row>
    <row r="83" customFormat="false" ht="18" hidden="false" customHeight="false" outlineLevel="1" collapsed="false">
      <c r="A83" s="113" t="n">
        <v>3170</v>
      </c>
      <c r="B83" s="45" t="s">
        <v>231</v>
      </c>
      <c r="C83" s="46" t="s">
        <v>30</v>
      </c>
      <c r="D83" s="100" t="n">
        <v>3880</v>
      </c>
      <c r="E83" s="78" t="s">
        <v>226</v>
      </c>
      <c r="F83" s="49" t="s">
        <v>32</v>
      </c>
      <c r="G83" s="101" t="n">
        <v>3640</v>
      </c>
      <c r="H83" s="78" t="s">
        <v>227</v>
      </c>
      <c r="I83" s="49" t="s">
        <v>32</v>
      </c>
      <c r="J83" s="51" t="s">
        <v>30</v>
      </c>
      <c r="K83" s="52" t="s">
        <v>30</v>
      </c>
      <c r="L83" s="48" t="s">
        <v>34</v>
      </c>
      <c r="M83" s="53"/>
      <c r="N83" s="54"/>
      <c r="O83" s="48" t="s">
        <v>36</v>
      </c>
      <c r="P83" s="52" t="s">
        <v>37</v>
      </c>
      <c r="Q83" s="52" t="s">
        <v>37</v>
      </c>
      <c r="R83" s="52" t="s">
        <v>37</v>
      </c>
      <c r="S83" s="55" t="s">
        <v>37</v>
      </c>
      <c r="T83" s="72"/>
      <c r="U83" s="57" t="s">
        <v>232</v>
      </c>
      <c r="V83" s="53" t="s">
        <v>206</v>
      </c>
      <c r="W83" s="53" t="s">
        <v>206</v>
      </c>
      <c r="X83" s="53" t="s">
        <v>207</v>
      </c>
      <c r="Y83" s="53" t="str">
        <f aca="false">VLOOKUP(O83,'Taux de valorisation'!A:O,14,FALSE())</f>
        <v>8</v>
      </c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</row>
    <row r="84" customFormat="false" ht="18" hidden="false" customHeight="false" outlineLevel="1" collapsed="false">
      <c r="A84" s="113" t="n">
        <v>3180</v>
      </c>
      <c r="B84" s="45" t="s">
        <v>233</v>
      </c>
      <c r="C84" s="46" t="s">
        <v>30</v>
      </c>
      <c r="D84" s="100" t="n">
        <v>3880</v>
      </c>
      <c r="E84" s="78" t="s">
        <v>226</v>
      </c>
      <c r="F84" s="49" t="s">
        <v>32</v>
      </c>
      <c r="G84" s="101" t="n">
        <v>3640</v>
      </c>
      <c r="H84" s="78" t="s">
        <v>227</v>
      </c>
      <c r="I84" s="49" t="s">
        <v>32</v>
      </c>
      <c r="J84" s="51" t="s">
        <v>30</v>
      </c>
      <c r="K84" s="52" t="s">
        <v>30</v>
      </c>
      <c r="L84" s="48" t="s">
        <v>34</v>
      </c>
      <c r="M84" s="53"/>
      <c r="N84" s="54"/>
      <c r="O84" s="48" t="s">
        <v>36</v>
      </c>
      <c r="P84" s="52" t="s">
        <v>37</v>
      </c>
      <c r="Q84" s="52" t="s">
        <v>37</v>
      </c>
      <c r="R84" s="52" t="s">
        <v>37</v>
      </c>
      <c r="S84" s="55" t="s">
        <v>37</v>
      </c>
      <c r="T84" s="72"/>
      <c r="U84" s="57" t="s">
        <v>234</v>
      </c>
      <c r="V84" s="53" t="s">
        <v>206</v>
      </c>
      <c r="W84" s="53" t="s">
        <v>206</v>
      </c>
      <c r="X84" s="53" t="s">
        <v>207</v>
      </c>
      <c r="Y84" s="53" t="str">
        <f aca="false">VLOOKUP(O84,'Taux de valorisation'!A:O,14,FALSE())</f>
        <v>8</v>
      </c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</row>
    <row r="85" customFormat="false" ht="18" hidden="false" customHeight="false" outlineLevel="1" collapsed="false">
      <c r="A85" s="113" t="n">
        <v>3190</v>
      </c>
      <c r="B85" s="45" t="s">
        <v>235</v>
      </c>
      <c r="C85" s="46" t="s">
        <v>30</v>
      </c>
      <c r="D85" s="100" t="n">
        <v>3880</v>
      </c>
      <c r="E85" s="78" t="s">
        <v>226</v>
      </c>
      <c r="F85" s="49" t="s">
        <v>32</v>
      </c>
      <c r="G85" s="101" t="n">
        <v>3640</v>
      </c>
      <c r="H85" s="78" t="s">
        <v>227</v>
      </c>
      <c r="I85" s="49" t="s">
        <v>32</v>
      </c>
      <c r="J85" s="51" t="s">
        <v>30</v>
      </c>
      <c r="K85" s="52" t="s">
        <v>30</v>
      </c>
      <c r="L85" s="48" t="s">
        <v>34</v>
      </c>
      <c r="M85" s="53"/>
      <c r="N85" s="54"/>
      <c r="O85" s="48" t="s">
        <v>36</v>
      </c>
      <c r="P85" s="52" t="s">
        <v>37</v>
      </c>
      <c r="Q85" s="52" t="s">
        <v>37</v>
      </c>
      <c r="R85" s="52" t="s">
        <v>37</v>
      </c>
      <c r="S85" s="55" t="s">
        <v>37</v>
      </c>
      <c r="T85" s="72"/>
      <c r="U85" s="57" t="s">
        <v>236</v>
      </c>
      <c r="V85" s="53" t="s">
        <v>206</v>
      </c>
      <c r="W85" s="53" t="s">
        <v>206</v>
      </c>
      <c r="X85" s="53" t="s">
        <v>207</v>
      </c>
      <c r="Y85" s="53" t="str">
        <f aca="false">VLOOKUP(O85,'Taux de valorisation'!A:O,14,FALSE())</f>
        <v>8</v>
      </c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</row>
    <row r="86" customFormat="false" ht="13.5" hidden="false" customHeight="true" outlineLevel="1" collapsed="false">
      <c r="A86" s="114" t="s">
        <v>71</v>
      </c>
      <c r="B86" s="114"/>
      <c r="C86" s="61"/>
      <c r="D86" s="62"/>
      <c r="E86" s="63"/>
      <c r="F86" s="64"/>
      <c r="G86" s="65"/>
      <c r="H86" s="63"/>
      <c r="I86" s="66"/>
      <c r="J86" s="62"/>
      <c r="K86" s="67"/>
      <c r="L86" s="63"/>
      <c r="M86" s="76"/>
      <c r="N86" s="63"/>
      <c r="O86" s="63"/>
      <c r="P86" s="63"/>
      <c r="Q86" s="63"/>
      <c r="R86" s="63"/>
      <c r="S86" s="64"/>
      <c r="T86" s="58"/>
      <c r="U86" s="59"/>
      <c r="V86" s="76"/>
      <c r="W86" s="76"/>
      <c r="X86" s="76"/>
      <c r="Y86" s="76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</row>
    <row r="87" s="99" customFormat="true" ht="18" hidden="true" customHeight="false" outlineLevel="1" collapsed="false">
      <c r="A87" s="115" t="n">
        <v>3101</v>
      </c>
      <c r="B87" s="116" t="s">
        <v>237</v>
      </c>
      <c r="C87" s="117" t="s">
        <v>37</v>
      </c>
      <c r="D87" s="118" t="n">
        <v>3851</v>
      </c>
      <c r="E87" s="119" t="s">
        <v>238</v>
      </c>
      <c r="F87" s="90" t="s">
        <v>105</v>
      </c>
      <c r="G87" s="120" t="n">
        <v>3601</v>
      </c>
      <c r="H87" s="119" t="s">
        <v>239</v>
      </c>
      <c r="I87" s="90" t="s">
        <v>105</v>
      </c>
      <c r="J87" s="92" t="s">
        <v>30</v>
      </c>
      <c r="K87" s="93" t="s">
        <v>30</v>
      </c>
      <c r="L87" s="94" t="s">
        <v>107</v>
      </c>
      <c r="M87" s="95"/>
      <c r="N87" s="94"/>
      <c r="O87" s="94" t="s">
        <v>36</v>
      </c>
      <c r="P87" s="93" t="s">
        <v>37</v>
      </c>
      <c r="Q87" s="93" t="s">
        <v>37</v>
      </c>
      <c r="R87" s="93" t="s">
        <v>37</v>
      </c>
      <c r="S87" s="96" t="s">
        <v>37</v>
      </c>
      <c r="T87" s="121"/>
      <c r="U87" s="122"/>
      <c r="V87" s="95" t="s">
        <v>206</v>
      </c>
      <c r="W87" s="95" t="s">
        <v>206</v>
      </c>
      <c r="X87" s="95" t="s">
        <v>207</v>
      </c>
      <c r="Y87" s="95" t="str">
        <f aca="false">VLOOKUP(O87,'Taux de valorisation'!A:O,14,FALSE())</f>
        <v>8</v>
      </c>
    </row>
    <row r="88" s="99" customFormat="true" ht="18" hidden="true" customHeight="false" outlineLevel="1" collapsed="false">
      <c r="A88" s="115" t="n">
        <v>3111</v>
      </c>
      <c r="B88" s="116" t="s">
        <v>240</v>
      </c>
      <c r="C88" s="117" t="s">
        <v>37</v>
      </c>
      <c r="D88" s="118" t="n">
        <v>3961</v>
      </c>
      <c r="E88" s="119" t="s">
        <v>241</v>
      </c>
      <c r="F88" s="90" t="s">
        <v>105</v>
      </c>
      <c r="G88" s="120" t="n">
        <v>3461</v>
      </c>
      <c r="H88" s="119" t="s">
        <v>242</v>
      </c>
      <c r="I88" s="90" t="s">
        <v>105</v>
      </c>
      <c r="J88" s="92" t="s">
        <v>30</v>
      </c>
      <c r="K88" s="93" t="s">
        <v>30</v>
      </c>
      <c r="L88" s="94" t="s">
        <v>107</v>
      </c>
      <c r="M88" s="95"/>
      <c r="N88" s="94" t="s">
        <v>243</v>
      </c>
      <c r="O88" s="94"/>
      <c r="P88" s="93" t="s">
        <v>37</v>
      </c>
      <c r="Q88" s="93" t="s">
        <v>37</v>
      </c>
      <c r="R88" s="93" t="s">
        <v>37</v>
      </c>
      <c r="S88" s="96" t="s">
        <v>37</v>
      </c>
      <c r="T88" s="121"/>
      <c r="U88" s="122"/>
      <c r="V88" s="95"/>
      <c r="W88" s="95"/>
      <c r="X88" s="95" t="s">
        <v>207</v>
      </c>
      <c r="Y88" s="95" t="e">
        <f aca="false">VLOOKUP(O88,'Taux de valorisation'!A:O,14,FALSE())</f>
        <v>#N/A</v>
      </c>
    </row>
    <row r="89" s="99" customFormat="true" ht="18" hidden="true" customHeight="false" outlineLevel="1" collapsed="false">
      <c r="A89" s="115" t="n">
        <v>3121</v>
      </c>
      <c r="B89" s="116" t="s">
        <v>244</v>
      </c>
      <c r="C89" s="117" t="s">
        <v>37</v>
      </c>
      <c r="D89" s="118" t="n">
        <v>3971</v>
      </c>
      <c r="E89" s="119" t="s">
        <v>245</v>
      </c>
      <c r="F89" s="90" t="s">
        <v>105</v>
      </c>
      <c r="G89" s="120" t="n">
        <v>3471</v>
      </c>
      <c r="H89" s="119" t="s">
        <v>246</v>
      </c>
      <c r="I89" s="90" t="s">
        <v>105</v>
      </c>
      <c r="J89" s="92" t="s">
        <v>30</v>
      </c>
      <c r="K89" s="93" t="s">
        <v>30</v>
      </c>
      <c r="L89" s="94" t="s">
        <v>107</v>
      </c>
      <c r="M89" s="95"/>
      <c r="N89" s="94" t="s">
        <v>243</v>
      </c>
      <c r="O89" s="94"/>
      <c r="P89" s="93" t="s">
        <v>37</v>
      </c>
      <c r="Q89" s="93" t="s">
        <v>37</v>
      </c>
      <c r="R89" s="93" t="s">
        <v>37</v>
      </c>
      <c r="S89" s="96" t="s">
        <v>37</v>
      </c>
      <c r="T89" s="121"/>
      <c r="U89" s="122"/>
      <c r="V89" s="95"/>
      <c r="W89" s="95"/>
      <c r="X89" s="95" t="s">
        <v>207</v>
      </c>
      <c r="Y89" s="95" t="e">
        <f aca="false">VLOOKUP(O89,'Taux de valorisation'!A:O,14,FALSE())</f>
        <v>#N/A</v>
      </c>
    </row>
    <row r="90" s="99" customFormat="true" ht="18" hidden="true" customHeight="false" outlineLevel="1" collapsed="false">
      <c r="A90" s="115" t="n">
        <v>3151</v>
      </c>
      <c r="B90" s="116" t="s">
        <v>247</v>
      </c>
      <c r="C90" s="117" t="s">
        <v>37</v>
      </c>
      <c r="D90" s="118" t="n">
        <v>3881</v>
      </c>
      <c r="E90" s="119" t="s">
        <v>248</v>
      </c>
      <c r="F90" s="90" t="s">
        <v>105</v>
      </c>
      <c r="G90" s="120" t="n">
        <v>3641</v>
      </c>
      <c r="H90" s="119" t="s">
        <v>249</v>
      </c>
      <c r="I90" s="90" t="s">
        <v>105</v>
      </c>
      <c r="J90" s="92" t="s">
        <v>30</v>
      </c>
      <c r="K90" s="93" t="s">
        <v>30</v>
      </c>
      <c r="L90" s="94" t="s">
        <v>107</v>
      </c>
      <c r="M90" s="95"/>
      <c r="N90" s="94" t="s">
        <v>243</v>
      </c>
      <c r="O90" s="94"/>
      <c r="P90" s="93"/>
      <c r="Q90" s="93"/>
      <c r="R90" s="93"/>
      <c r="S90" s="96"/>
      <c r="T90" s="121"/>
      <c r="U90" s="122"/>
      <c r="V90" s="95"/>
      <c r="W90" s="95"/>
      <c r="X90" s="95"/>
      <c r="Y90" s="95"/>
    </row>
    <row r="91" s="99" customFormat="true" ht="18" hidden="true" customHeight="false" outlineLevel="1" collapsed="false">
      <c r="A91" s="115" t="n">
        <v>3161</v>
      </c>
      <c r="B91" s="116" t="s">
        <v>250</v>
      </c>
      <c r="C91" s="117" t="s">
        <v>37</v>
      </c>
      <c r="D91" s="118" t="n">
        <v>3881</v>
      </c>
      <c r="E91" s="119" t="s">
        <v>248</v>
      </c>
      <c r="F91" s="90" t="s">
        <v>105</v>
      </c>
      <c r="G91" s="120" t="n">
        <v>3641</v>
      </c>
      <c r="H91" s="119" t="s">
        <v>249</v>
      </c>
      <c r="I91" s="90" t="s">
        <v>105</v>
      </c>
      <c r="J91" s="92" t="s">
        <v>30</v>
      </c>
      <c r="K91" s="93" t="s">
        <v>30</v>
      </c>
      <c r="L91" s="94" t="s">
        <v>107</v>
      </c>
      <c r="M91" s="95"/>
      <c r="N91" s="94" t="s">
        <v>243</v>
      </c>
      <c r="O91" s="94"/>
      <c r="P91" s="93"/>
      <c r="Q91" s="93"/>
      <c r="R91" s="93"/>
      <c r="S91" s="96"/>
      <c r="T91" s="121"/>
      <c r="U91" s="122"/>
      <c r="V91" s="95"/>
      <c r="W91" s="95"/>
      <c r="X91" s="95"/>
      <c r="Y91" s="95"/>
    </row>
    <row r="92" s="99" customFormat="true" ht="18" hidden="true" customHeight="false" outlineLevel="1" collapsed="false">
      <c r="A92" s="115" t="n">
        <v>3171</v>
      </c>
      <c r="B92" s="116" t="s">
        <v>251</v>
      </c>
      <c r="C92" s="117" t="s">
        <v>37</v>
      </c>
      <c r="D92" s="118" t="n">
        <v>3881</v>
      </c>
      <c r="E92" s="119" t="s">
        <v>248</v>
      </c>
      <c r="F92" s="90" t="s">
        <v>105</v>
      </c>
      <c r="G92" s="120" t="n">
        <v>3641</v>
      </c>
      <c r="H92" s="119" t="s">
        <v>249</v>
      </c>
      <c r="I92" s="90" t="s">
        <v>105</v>
      </c>
      <c r="J92" s="92" t="s">
        <v>30</v>
      </c>
      <c r="K92" s="93" t="s">
        <v>30</v>
      </c>
      <c r="L92" s="94" t="s">
        <v>107</v>
      </c>
      <c r="M92" s="95"/>
      <c r="N92" s="94" t="s">
        <v>243</v>
      </c>
      <c r="O92" s="94"/>
      <c r="P92" s="93"/>
      <c r="Q92" s="93"/>
      <c r="R92" s="93"/>
      <c r="S92" s="96"/>
      <c r="T92" s="121"/>
      <c r="U92" s="122"/>
      <c r="V92" s="95"/>
      <c r="W92" s="95"/>
      <c r="X92" s="95"/>
      <c r="Y92" s="95"/>
    </row>
    <row r="93" s="99" customFormat="true" ht="18" hidden="true" customHeight="false" outlineLevel="1" collapsed="false">
      <c r="A93" s="115" t="n">
        <v>3181</v>
      </c>
      <c r="B93" s="116" t="s">
        <v>252</v>
      </c>
      <c r="C93" s="117" t="s">
        <v>37</v>
      </c>
      <c r="D93" s="118" t="n">
        <v>3881</v>
      </c>
      <c r="E93" s="119" t="s">
        <v>248</v>
      </c>
      <c r="F93" s="90" t="s">
        <v>105</v>
      </c>
      <c r="G93" s="120" t="n">
        <v>3641</v>
      </c>
      <c r="H93" s="119" t="s">
        <v>249</v>
      </c>
      <c r="I93" s="90" t="s">
        <v>105</v>
      </c>
      <c r="J93" s="92" t="s">
        <v>30</v>
      </c>
      <c r="K93" s="93" t="s">
        <v>30</v>
      </c>
      <c r="L93" s="94" t="s">
        <v>107</v>
      </c>
      <c r="M93" s="95"/>
      <c r="N93" s="94" t="s">
        <v>243</v>
      </c>
      <c r="O93" s="94"/>
      <c r="P93" s="93"/>
      <c r="Q93" s="93"/>
      <c r="R93" s="93"/>
      <c r="S93" s="96"/>
      <c r="T93" s="121"/>
      <c r="U93" s="122"/>
      <c r="V93" s="95"/>
      <c r="W93" s="95"/>
      <c r="X93" s="95"/>
      <c r="Y93" s="95"/>
    </row>
    <row r="94" s="99" customFormat="true" ht="18" hidden="true" customHeight="false" outlineLevel="1" collapsed="false">
      <c r="A94" s="115" t="n">
        <v>3191</v>
      </c>
      <c r="B94" s="116" t="s">
        <v>253</v>
      </c>
      <c r="C94" s="117" t="s">
        <v>37</v>
      </c>
      <c r="D94" s="118" t="n">
        <v>3881</v>
      </c>
      <c r="E94" s="119" t="s">
        <v>248</v>
      </c>
      <c r="F94" s="90" t="s">
        <v>105</v>
      </c>
      <c r="G94" s="120" t="n">
        <v>3641</v>
      </c>
      <c r="H94" s="119" t="s">
        <v>249</v>
      </c>
      <c r="I94" s="90" t="s">
        <v>105</v>
      </c>
      <c r="J94" s="92" t="s">
        <v>30</v>
      </c>
      <c r="K94" s="93" t="s">
        <v>30</v>
      </c>
      <c r="L94" s="94" t="s">
        <v>107</v>
      </c>
      <c r="M94" s="95"/>
      <c r="N94" s="94" t="s">
        <v>243</v>
      </c>
      <c r="O94" s="94"/>
      <c r="P94" s="93" t="s">
        <v>37</v>
      </c>
      <c r="Q94" s="93" t="s">
        <v>37</v>
      </c>
      <c r="R94" s="93" t="s">
        <v>37</v>
      </c>
      <c r="S94" s="96" t="s">
        <v>37</v>
      </c>
      <c r="T94" s="121"/>
      <c r="U94" s="122"/>
      <c r="V94" s="95"/>
      <c r="W94" s="95"/>
      <c r="X94" s="95" t="s">
        <v>207</v>
      </c>
      <c r="Y94" s="95" t="e">
        <f aca="false">VLOOKUP(O94,'Taux de valorisation'!A:O,14,FALSE())</f>
        <v>#N/A</v>
      </c>
    </row>
    <row r="95" s="99" customFormat="true" ht="18" hidden="true" customHeight="false" outlineLevel="1" collapsed="false">
      <c r="A95" s="115" t="n">
        <v>3112</v>
      </c>
      <c r="B95" s="116" t="s">
        <v>254</v>
      </c>
      <c r="C95" s="117" t="s">
        <v>37</v>
      </c>
      <c r="D95" s="118" t="n">
        <v>3962</v>
      </c>
      <c r="E95" s="119" t="s">
        <v>255</v>
      </c>
      <c r="F95" s="90" t="s">
        <v>32</v>
      </c>
      <c r="G95" s="120" t="n">
        <v>3462</v>
      </c>
      <c r="H95" s="119" t="s">
        <v>256</v>
      </c>
      <c r="I95" s="90" t="s">
        <v>32</v>
      </c>
      <c r="J95" s="92" t="s">
        <v>30</v>
      </c>
      <c r="K95" s="93" t="s">
        <v>30</v>
      </c>
      <c r="L95" s="94" t="s">
        <v>34</v>
      </c>
      <c r="M95" s="95"/>
      <c r="N95" s="94"/>
      <c r="O95" s="94" t="s">
        <v>36</v>
      </c>
      <c r="P95" s="93" t="s">
        <v>37</v>
      </c>
      <c r="Q95" s="93" t="s">
        <v>37</v>
      </c>
      <c r="R95" s="93" t="s">
        <v>37</v>
      </c>
      <c r="S95" s="96" t="s">
        <v>37</v>
      </c>
      <c r="T95" s="121"/>
      <c r="U95" s="122"/>
      <c r="V95" s="95"/>
      <c r="W95" s="95"/>
      <c r="X95" s="95" t="s">
        <v>207</v>
      </c>
      <c r="Y95" s="95" t="str">
        <f aca="false">VLOOKUP(O95,'Taux de valorisation'!A:O,14,FALSE())</f>
        <v>8</v>
      </c>
    </row>
    <row r="96" customFormat="false" ht="12.75" hidden="false" customHeight="false" outlineLevel="0" collapsed="false">
      <c r="A96" s="74" t="s">
        <v>257</v>
      </c>
      <c r="B96" s="75" t="s">
        <v>258</v>
      </c>
      <c r="C96" s="61"/>
      <c r="D96" s="62"/>
      <c r="E96" s="63"/>
      <c r="F96" s="64"/>
      <c r="G96" s="65"/>
      <c r="H96" s="63"/>
      <c r="I96" s="66"/>
      <c r="J96" s="62"/>
      <c r="K96" s="67"/>
      <c r="L96" s="63"/>
      <c r="M96" s="123"/>
      <c r="N96" s="63"/>
      <c r="O96" s="63"/>
      <c r="P96" s="63"/>
      <c r="Q96" s="63"/>
      <c r="R96" s="63"/>
      <c r="S96" s="64"/>
      <c r="T96" s="58"/>
      <c r="U96" s="59"/>
      <c r="V96" s="76"/>
      <c r="W96" s="76"/>
      <c r="X96" s="76"/>
      <c r="Y96" s="76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</row>
    <row r="97" customFormat="false" ht="18" hidden="false" customHeight="false" outlineLevel="1" collapsed="false">
      <c r="A97" s="44" t="n">
        <v>4100</v>
      </c>
      <c r="B97" s="45" t="s">
        <v>259</v>
      </c>
      <c r="C97" s="46" t="s">
        <v>30</v>
      </c>
      <c r="D97" s="47"/>
      <c r="E97" s="48"/>
      <c r="F97" s="49"/>
      <c r="G97" s="101" t="n">
        <v>3700</v>
      </c>
      <c r="H97" s="78" t="s">
        <v>260</v>
      </c>
      <c r="I97" s="49" t="s">
        <v>32</v>
      </c>
      <c r="J97" s="51" t="s">
        <v>30</v>
      </c>
      <c r="K97" s="52" t="s">
        <v>30</v>
      </c>
      <c r="L97" s="48" t="s">
        <v>34</v>
      </c>
      <c r="M97" s="53"/>
      <c r="N97" s="54"/>
      <c r="O97" s="48" t="s">
        <v>36</v>
      </c>
      <c r="P97" s="52" t="s">
        <v>37</v>
      </c>
      <c r="Q97" s="52" t="s">
        <v>37</v>
      </c>
      <c r="R97" s="52" t="s">
        <v>37</v>
      </c>
      <c r="S97" s="55" t="s">
        <v>30</v>
      </c>
      <c r="T97" s="72" t="s">
        <v>135</v>
      </c>
      <c r="U97" s="57" t="s">
        <v>261</v>
      </c>
      <c r="V97" s="53"/>
      <c r="W97" s="53" t="s">
        <v>262</v>
      </c>
      <c r="X97" s="53" t="s">
        <v>263</v>
      </c>
      <c r="Y97" s="53" t="str">
        <f aca="false">VLOOKUP(O97,'Taux de valorisation'!A:O,15,FALSE())</f>
        <v>8</v>
      </c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</row>
    <row r="98" customFormat="false" ht="18" hidden="true" customHeight="false" outlineLevel="1" collapsed="false">
      <c r="A98" s="44" t="n">
        <v>4110</v>
      </c>
      <c r="B98" s="45" t="s">
        <v>264</v>
      </c>
      <c r="C98" s="46" t="s">
        <v>37</v>
      </c>
      <c r="D98" s="47"/>
      <c r="E98" s="48"/>
      <c r="F98" s="49"/>
      <c r="G98" s="50" t="n">
        <v>3710</v>
      </c>
      <c r="H98" s="48" t="s">
        <v>265</v>
      </c>
      <c r="I98" s="49" t="s">
        <v>32</v>
      </c>
      <c r="J98" s="51" t="s">
        <v>37</v>
      </c>
      <c r="K98" s="52" t="s">
        <v>37</v>
      </c>
      <c r="L98" s="48"/>
      <c r="M98" s="53"/>
      <c r="N98" s="54"/>
      <c r="O98" s="48" t="s">
        <v>36</v>
      </c>
      <c r="P98" s="52" t="s">
        <v>37</v>
      </c>
      <c r="Q98" s="52" t="s">
        <v>37</v>
      </c>
      <c r="R98" s="52" t="s">
        <v>37</v>
      </c>
      <c r="S98" s="55" t="s">
        <v>37</v>
      </c>
      <c r="T98" s="56"/>
      <c r="U98" s="57" t="s">
        <v>266</v>
      </c>
      <c r="V98" s="53"/>
      <c r="W98" s="53" t="s">
        <v>262</v>
      </c>
      <c r="X98" s="53" t="s">
        <v>263</v>
      </c>
      <c r="Y98" s="53" t="str">
        <f aca="false">VLOOKUP(O98,'Taux de valorisation'!A:O,15,FALSE())</f>
        <v>8</v>
      </c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</row>
    <row r="99" customFormat="false" ht="18" hidden="true" customHeight="false" outlineLevel="1" collapsed="false">
      <c r="A99" s="44" t="n">
        <v>4120</v>
      </c>
      <c r="B99" s="45" t="s">
        <v>267</v>
      </c>
      <c r="C99" s="46" t="s">
        <v>37</v>
      </c>
      <c r="D99" s="47"/>
      <c r="E99" s="48"/>
      <c r="F99" s="49"/>
      <c r="G99" s="50" t="n">
        <v>3620</v>
      </c>
      <c r="H99" s="48" t="s">
        <v>267</v>
      </c>
      <c r="I99" s="49" t="s">
        <v>32</v>
      </c>
      <c r="J99" s="51" t="s">
        <v>30</v>
      </c>
      <c r="K99" s="52" t="s">
        <v>30</v>
      </c>
      <c r="L99" s="48" t="s">
        <v>34</v>
      </c>
      <c r="M99" s="53"/>
      <c r="N99" s="54"/>
      <c r="O99" s="48" t="s">
        <v>36</v>
      </c>
      <c r="P99" s="52" t="s">
        <v>37</v>
      </c>
      <c r="Q99" s="52" t="s">
        <v>30</v>
      </c>
      <c r="R99" s="52" t="s">
        <v>37</v>
      </c>
      <c r="S99" s="55" t="s">
        <v>37</v>
      </c>
      <c r="T99" s="56" t="s">
        <v>268</v>
      </c>
      <c r="U99" s="59"/>
      <c r="V99" s="53"/>
      <c r="W99" s="53" t="s">
        <v>262</v>
      </c>
      <c r="X99" s="53" t="s">
        <v>263</v>
      </c>
      <c r="Y99" s="53" t="str">
        <f aca="false">VLOOKUP(O99,'Taux de valorisation'!A:O,15,FALSE())</f>
        <v>8</v>
      </c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</row>
    <row r="100" customFormat="false" ht="18" hidden="true" customHeight="false" outlineLevel="1" collapsed="false">
      <c r="A100" s="44" t="n">
        <v>4130</v>
      </c>
      <c r="B100" s="45" t="s">
        <v>269</v>
      </c>
      <c r="C100" s="46" t="s">
        <v>37</v>
      </c>
      <c r="D100" s="47" t="n">
        <v>3990</v>
      </c>
      <c r="E100" s="48" t="s">
        <v>270</v>
      </c>
      <c r="F100" s="48" t="s">
        <v>271</v>
      </c>
      <c r="G100" s="50" t="n">
        <v>3660</v>
      </c>
      <c r="H100" s="48" t="s">
        <v>272</v>
      </c>
      <c r="I100" s="48" t="s">
        <v>271</v>
      </c>
      <c r="J100" s="51" t="s">
        <v>37</v>
      </c>
      <c r="K100" s="52" t="s">
        <v>37</v>
      </c>
      <c r="L100" s="48"/>
      <c r="M100" s="53"/>
      <c r="N100" s="54"/>
      <c r="O100" s="48"/>
      <c r="P100" s="52" t="s">
        <v>37</v>
      </c>
      <c r="Q100" s="52" t="s">
        <v>37</v>
      </c>
      <c r="R100" s="52" t="s">
        <v>37</v>
      </c>
      <c r="S100" s="55" t="s">
        <v>37</v>
      </c>
      <c r="T100" s="58" t="s">
        <v>273</v>
      </c>
      <c r="U100" s="59"/>
      <c r="V100" s="53" t="s">
        <v>274</v>
      </c>
      <c r="W100" s="53" t="s">
        <v>274</v>
      </c>
      <c r="X100" s="53" t="s">
        <v>42</v>
      </c>
      <c r="Y100" s="53" t="s">
        <v>42</v>
      </c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</row>
    <row r="101" customFormat="false" ht="18" hidden="true" customHeight="false" outlineLevel="1" collapsed="false">
      <c r="A101" s="44" t="n">
        <v>4140</v>
      </c>
      <c r="B101" s="45" t="s">
        <v>275</v>
      </c>
      <c r="C101" s="46" t="s">
        <v>37</v>
      </c>
      <c r="D101" s="47" t="n">
        <v>3980</v>
      </c>
      <c r="E101" s="48" t="s">
        <v>276</v>
      </c>
      <c r="F101" s="49" t="s">
        <v>32</v>
      </c>
      <c r="G101" s="50" t="n">
        <v>3480</v>
      </c>
      <c r="H101" s="48" t="s">
        <v>277</v>
      </c>
      <c r="I101" s="49" t="s">
        <v>32</v>
      </c>
      <c r="J101" s="51" t="s">
        <v>37</v>
      </c>
      <c r="K101" s="52" t="s">
        <v>37</v>
      </c>
      <c r="L101" s="48"/>
      <c r="M101" s="53"/>
      <c r="N101" s="54"/>
      <c r="O101" s="48"/>
      <c r="P101" s="52" t="s">
        <v>37</v>
      </c>
      <c r="Q101" s="52" t="s">
        <v>37</v>
      </c>
      <c r="R101" s="52" t="s">
        <v>37</v>
      </c>
      <c r="S101" s="55" t="s">
        <v>37</v>
      </c>
      <c r="T101" s="58"/>
      <c r="U101" s="59"/>
      <c r="V101" s="53" t="s">
        <v>262</v>
      </c>
      <c r="W101" s="53" t="s">
        <v>262</v>
      </c>
      <c r="X101" s="53" t="s">
        <v>263</v>
      </c>
      <c r="Y101" s="53" t="e">
        <f aca="false">VLOOKUP(O101,'Taux de valorisation'!A:O,15,FALSE())</f>
        <v>#N/A</v>
      </c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</row>
    <row r="102" s="99" customFormat="true" ht="18" hidden="true" customHeight="false" outlineLevel="1" collapsed="false">
      <c r="A102" s="124" t="n">
        <v>4150</v>
      </c>
      <c r="B102" s="125" t="s">
        <v>278</v>
      </c>
      <c r="C102" s="117" t="s">
        <v>37</v>
      </c>
      <c r="D102" s="126"/>
      <c r="E102" s="94"/>
      <c r="F102" s="90"/>
      <c r="G102" s="120" t="n">
        <v>3720</v>
      </c>
      <c r="H102" s="119" t="s">
        <v>279</v>
      </c>
      <c r="I102" s="90" t="s">
        <v>32</v>
      </c>
      <c r="J102" s="92" t="s">
        <v>30</v>
      </c>
      <c r="K102" s="93" t="s">
        <v>30</v>
      </c>
      <c r="L102" s="94" t="s">
        <v>34</v>
      </c>
      <c r="M102" s="95"/>
      <c r="N102" s="94"/>
      <c r="O102" s="94" t="s">
        <v>36</v>
      </c>
      <c r="P102" s="93" t="s">
        <v>37</v>
      </c>
      <c r="Q102" s="93" t="s">
        <v>30</v>
      </c>
      <c r="R102" s="93" t="s">
        <v>37</v>
      </c>
      <c r="S102" s="96" t="s">
        <v>30</v>
      </c>
      <c r="T102" s="97"/>
      <c r="U102" s="127"/>
      <c r="V102" s="95"/>
      <c r="W102" s="95" t="s">
        <v>262</v>
      </c>
      <c r="X102" s="95" t="s">
        <v>263</v>
      </c>
      <c r="Y102" s="95" t="str">
        <f aca="false">VLOOKUP(O102,'Taux de valorisation'!A:O,15,FALSE())</f>
        <v>8</v>
      </c>
    </row>
    <row r="103" customFormat="false" ht="18" hidden="false" customHeight="false" outlineLevel="1" collapsed="false">
      <c r="A103" s="44" t="n">
        <v>4160</v>
      </c>
      <c r="B103" s="45" t="s">
        <v>280</v>
      </c>
      <c r="C103" s="46" t="s">
        <v>30</v>
      </c>
      <c r="D103" s="47"/>
      <c r="E103" s="48"/>
      <c r="F103" s="49" t="s">
        <v>32</v>
      </c>
      <c r="G103" s="101" t="n">
        <v>3670</v>
      </c>
      <c r="H103" s="78" t="s">
        <v>281</v>
      </c>
      <c r="I103" s="49" t="s">
        <v>32</v>
      </c>
      <c r="J103" s="51" t="s">
        <v>30</v>
      </c>
      <c r="K103" s="52" t="s">
        <v>30</v>
      </c>
      <c r="L103" s="48" t="s">
        <v>34</v>
      </c>
      <c r="M103" s="53"/>
      <c r="N103" s="54"/>
      <c r="O103" s="48" t="s">
        <v>36</v>
      </c>
      <c r="P103" s="52" t="s">
        <v>37</v>
      </c>
      <c r="Q103" s="52" t="s">
        <v>37</v>
      </c>
      <c r="R103" s="52" t="s">
        <v>37</v>
      </c>
      <c r="S103" s="55" t="s">
        <v>37</v>
      </c>
      <c r="T103" s="56" t="s">
        <v>282</v>
      </c>
      <c r="U103" s="57" t="s">
        <v>283</v>
      </c>
      <c r="V103" s="53" t="s">
        <v>262</v>
      </c>
      <c r="W103" s="53" t="s">
        <v>262</v>
      </c>
      <c r="X103" s="53" t="s">
        <v>263</v>
      </c>
      <c r="Y103" s="53" t="str">
        <f aca="false">VLOOKUP(O103,'Taux de valorisation'!A:O,15,FALSE())</f>
        <v>8</v>
      </c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</row>
    <row r="104" customFormat="false" ht="18" hidden="false" customHeight="false" outlineLevel="1" collapsed="false">
      <c r="A104" s="44" t="n">
        <v>4170</v>
      </c>
      <c r="B104" s="45" t="s">
        <v>284</v>
      </c>
      <c r="C104" s="46" t="s">
        <v>30</v>
      </c>
      <c r="D104" s="47"/>
      <c r="E104" s="48"/>
      <c r="F104" s="49"/>
      <c r="G104" s="101" t="n">
        <v>3730</v>
      </c>
      <c r="H104" s="78" t="s">
        <v>285</v>
      </c>
      <c r="I104" s="49" t="s">
        <v>32</v>
      </c>
      <c r="J104" s="51" t="s">
        <v>30</v>
      </c>
      <c r="K104" s="52" t="s">
        <v>30</v>
      </c>
      <c r="L104" s="48" t="s">
        <v>34</v>
      </c>
      <c r="M104" s="53"/>
      <c r="N104" s="54"/>
      <c r="O104" s="48" t="s">
        <v>36</v>
      </c>
      <c r="P104" s="52" t="s">
        <v>37</v>
      </c>
      <c r="Q104" s="52" t="s">
        <v>37</v>
      </c>
      <c r="R104" s="52" t="s">
        <v>37</v>
      </c>
      <c r="S104" s="55" t="s">
        <v>37</v>
      </c>
      <c r="T104" s="56" t="s">
        <v>282</v>
      </c>
      <c r="U104" s="57" t="s">
        <v>286</v>
      </c>
      <c r="V104" s="53"/>
      <c r="W104" s="53" t="s">
        <v>262</v>
      </c>
      <c r="X104" s="53" t="s">
        <v>263</v>
      </c>
      <c r="Y104" s="53" t="str">
        <f aca="false">VLOOKUP(O104,'Taux de valorisation'!A:O,15,FALSE())</f>
        <v>8</v>
      </c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</row>
    <row r="105" customFormat="false" ht="18" hidden="false" customHeight="false" outlineLevel="1" collapsed="false">
      <c r="A105" s="44" t="n">
        <v>4180</v>
      </c>
      <c r="B105" s="45" t="s">
        <v>287</v>
      </c>
      <c r="C105" s="46" t="s">
        <v>30</v>
      </c>
      <c r="D105" s="47"/>
      <c r="E105" s="48"/>
      <c r="F105" s="49"/>
      <c r="G105" s="101" t="n">
        <v>3740</v>
      </c>
      <c r="H105" s="78" t="s">
        <v>288</v>
      </c>
      <c r="I105" s="49" t="s">
        <v>32</v>
      </c>
      <c r="J105" s="51" t="s">
        <v>30</v>
      </c>
      <c r="K105" s="52" t="s">
        <v>30</v>
      </c>
      <c r="L105" s="48" t="s">
        <v>34</v>
      </c>
      <c r="M105" s="53"/>
      <c r="N105" s="54"/>
      <c r="O105" s="48" t="s">
        <v>36</v>
      </c>
      <c r="P105" s="52" t="s">
        <v>37</v>
      </c>
      <c r="Q105" s="52" t="s">
        <v>37</v>
      </c>
      <c r="R105" s="52" t="s">
        <v>37</v>
      </c>
      <c r="S105" s="55" t="s">
        <v>37</v>
      </c>
      <c r="T105" s="56" t="s">
        <v>282</v>
      </c>
      <c r="U105" s="57" t="s">
        <v>289</v>
      </c>
      <c r="V105" s="53"/>
      <c r="W105" s="53" t="s">
        <v>262</v>
      </c>
      <c r="X105" s="53" t="s">
        <v>263</v>
      </c>
      <c r="Y105" s="53" t="str">
        <f aca="false">VLOOKUP(O105,'Taux de valorisation'!A:O,15,FALSE())</f>
        <v>8</v>
      </c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</row>
    <row r="106" customFormat="false" ht="18" hidden="false" customHeight="false" outlineLevel="1" collapsed="false">
      <c r="A106" s="44" t="n">
        <v>4190</v>
      </c>
      <c r="B106" s="45" t="s">
        <v>290</v>
      </c>
      <c r="C106" s="46" t="s">
        <v>30</v>
      </c>
      <c r="D106" s="47"/>
      <c r="E106" s="48"/>
      <c r="F106" s="49"/>
      <c r="G106" s="101" t="n">
        <v>3490</v>
      </c>
      <c r="H106" s="78" t="s">
        <v>291</v>
      </c>
      <c r="I106" s="49" t="s">
        <v>32</v>
      </c>
      <c r="J106" s="51" t="s">
        <v>30</v>
      </c>
      <c r="K106" s="52" t="s">
        <v>30</v>
      </c>
      <c r="L106" s="48" t="s">
        <v>34</v>
      </c>
      <c r="M106" s="53"/>
      <c r="N106" s="54"/>
      <c r="O106" s="48" t="s">
        <v>36</v>
      </c>
      <c r="P106" s="52" t="s">
        <v>37</v>
      </c>
      <c r="Q106" s="52" t="s">
        <v>37</v>
      </c>
      <c r="R106" s="52" t="s">
        <v>37</v>
      </c>
      <c r="S106" s="55" t="s">
        <v>30</v>
      </c>
      <c r="T106" s="72" t="s">
        <v>135</v>
      </c>
      <c r="U106" s="57" t="s">
        <v>292</v>
      </c>
      <c r="V106" s="53"/>
      <c r="W106" s="53" t="s">
        <v>262</v>
      </c>
      <c r="X106" s="53" t="s">
        <v>263</v>
      </c>
      <c r="Y106" s="53" t="str">
        <f aca="false">VLOOKUP(O106,'Taux de valorisation'!A:O,15,FALSE())</f>
        <v>8</v>
      </c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</row>
    <row r="107" customFormat="false" ht="13.5" hidden="false" customHeight="true" outlineLevel="1" collapsed="false">
      <c r="A107" s="60" t="s">
        <v>71</v>
      </c>
      <c r="B107" s="60"/>
      <c r="C107" s="61"/>
      <c r="D107" s="62"/>
      <c r="E107" s="63"/>
      <c r="F107" s="64"/>
      <c r="G107" s="65"/>
      <c r="H107" s="63"/>
      <c r="I107" s="66"/>
      <c r="J107" s="62"/>
      <c r="K107" s="67"/>
      <c r="L107" s="63"/>
      <c r="M107" s="76"/>
      <c r="N107" s="63"/>
      <c r="O107" s="63"/>
      <c r="P107" s="63"/>
      <c r="Q107" s="63"/>
      <c r="R107" s="63"/>
      <c r="S107" s="64"/>
      <c r="T107" s="58"/>
      <c r="U107" s="59"/>
      <c r="V107" s="76"/>
      <c r="W107" s="76"/>
      <c r="X107" s="76"/>
      <c r="Y107" s="76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</row>
    <row r="108" s="99" customFormat="true" ht="18" hidden="true" customHeight="false" outlineLevel="1" collapsed="false">
      <c r="A108" s="115" t="n">
        <v>4101</v>
      </c>
      <c r="B108" s="116" t="s">
        <v>293</v>
      </c>
      <c r="C108" s="117" t="s">
        <v>37</v>
      </c>
      <c r="D108" s="126"/>
      <c r="E108" s="94"/>
      <c r="F108" s="90" t="s">
        <v>105</v>
      </c>
      <c r="G108" s="120" t="n">
        <v>3701</v>
      </c>
      <c r="H108" s="119" t="s">
        <v>294</v>
      </c>
      <c r="I108" s="90" t="s">
        <v>105</v>
      </c>
      <c r="J108" s="92" t="s">
        <v>30</v>
      </c>
      <c r="K108" s="93" t="s">
        <v>30</v>
      </c>
      <c r="L108" s="94" t="s">
        <v>107</v>
      </c>
      <c r="M108" s="95"/>
      <c r="N108" s="94" t="s">
        <v>243</v>
      </c>
      <c r="O108" s="94"/>
      <c r="P108" s="93" t="s">
        <v>37</v>
      </c>
      <c r="Q108" s="93" t="s">
        <v>37</v>
      </c>
      <c r="R108" s="93" t="s">
        <v>37</v>
      </c>
      <c r="S108" s="96" t="s">
        <v>37</v>
      </c>
      <c r="T108" s="121"/>
      <c r="U108" s="122"/>
      <c r="V108" s="95"/>
      <c r="W108" s="95"/>
      <c r="X108" s="95" t="s">
        <v>263</v>
      </c>
      <c r="Y108" s="95" t="e">
        <f aca="false">VLOOKUP(O108,'Taux de valorisation'!A:O,15,FALSE())</f>
        <v>#N/A</v>
      </c>
    </row>
    <row r="109" customFormat="false" ht="18" hidden="false" customHeight="false" outlineLevel="1" collapsed="false">
      <c r="A109" s="128" t="n">
        <v>4111</v>
      </c>
      <c r="B109" s="71" t="s">
        <v>295</v>
      </c>
      <c r="C109" s="46" t="s">
        <v>30</v>
      </c>
      <c r="D109" s="47"/>
      <c r="E109" s="48"/>
      <c r="F109" s="49"/>
      <c r="G109" s="101" t="n">
        <v>3700</v>
      </c>
      <c r="H109" s="78" t="s">
        <v>260</v>
      </c>
      <c r="I109" s="105" t="s">
        <v>32</v>
      </c>
      <c r="J109" s="51"/>
      <c r="K109" s="52"/>
      <c r="L109" s="48"/>
      <c r="M109" s="53"/>
      <c r="N109" s="54"/>
      <c r="O109" s="48"/>
      <c r="P109" s="52"/>
      <c r="Q109" s="52"/>
      <c r="R109" s="52"/>
      <c r="S109" s="55"/>
      <c r="T109" s="72" t="s">
        <v>268</v>
      </c>
      <c r="U109" s="57" t="s">
        <v>296</v>
      </c>
      <c r="V109" s="53"/>
      <c r="W109" s="53"/>
      <c r="X109" s="53"/>
      <c r="Y109" s="53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</row>
    <row r="110" s="99" customFormat="true" ht="18" hidden="true" customHeight="false" outlineLevel="1" collapsed="false">
      <c r="A110" s="115" t="n">
        <v>4112</v>
      </c>
      <c r="B110" s="116" t="s">
        <v>297</v>
      </c>
      <c r="C110" s="117" t="s">
        <v>37</v>
      </c>
      <c r="D110" s="126"/>
      <c r="E110" s="94"/>
      <c r="F110" s="90"/>
      <c r="G110" s="120" t="n">
        <v>3701</v>
      </c>
      <c r="H110" s="119" t="s">
        <v>294</v>
      </c>
      <c r="I110" s="90" t="s">
        <v>105</v>
      </c>
      <c r="J110" s="92"/>
      <c r="K110" s="93"/>
      <c r="L110" s="94"/>
      <c r="M110" s="95"/>
      <c r="N110" s="94"/>
      <c r="O110" s="94"/>
      <c r="P110" s="93"/>
      <c r="Q110" s="93"/>
      <c r="R110" s="93"/>
      <c r="S110" s="96"/>
      <c r="T110" s="97"/>
      <c r="U110" s="127"/>
      <c r="V110" s="95"/>
      <c r="W110" s="95"/>
      <c r="X110" s="95"/>
      <c r="Y110" s="95"/>
    </row>
    <row r="111" s="99" customFormat="true" ht="18" hidden="true" customHeight="false" outlineLevel="1" collapsed="false">
      <c r="A111" s="115" t="n">
        <v>4115</v>
      </c>
      <c r="B111" s="116" t="s">
        <v>267</v>
      </c>
      <c r="C111" s="117" t="s">
        <v>37</v>
      </c>
      <c r="D111" s="126"/>
      <c r="E111" s="94"/>
      <c r="F111" s="90"/>
      <c r="G111" s="120" t="n">
        <v>3700</v>
      </c>
      <c r="H111" s="119" t="s">
        <v>260</v>
      </c>
      <c r="I111" s="90" t="s">
        <v>32</v>
      </c>
      <c r="J111" s="92"/>
      <c r="K111" s="93"/>
      <c r="L111" s="94"/>
      <c r="M111" s="95"/>
      <c r="N111" s="94"/>
      <c r="O111" s="94"/>
      <c r="P111" s="93"/>
      <c r="Q111" s="93"/>
      <c r="R111" s="93"/>
      <c r="S111" s="96"/>
      <c r="T111" s="97"/>
      <c r="U111" s="127"/>
      <c r="V111" s="95"/>
      <c r="W111" s="95"/>
      <c r="X111" s="95"/>
      <c r="Y111" s="95"/>
    </row>
    <row r="112" s="99" customFormat="true" ht="18" hidden="true" customHeight="false" outlineLevel="1" collapsed="false">
      <c r="A112" s="115" t="n">
        <v>4116</v>
      </c>
      <c r="B112" s="116" t="s">
        <v>298</v>
      </c>
      <c r="C112" s="117" t="s">
        <v>37</v>
      </c>
      <c r="D112" s="126"/>
      <c r="E112" s="94"/>
      <c r="F112" s="90"/>
      <c r="G112" s="120" t="n">
        <v>3701</v>
      </c>
      <c r="H112" s="119" t="s">
        <v>294</v>
      </c>
      <c r="I112" s="90" t="s">
        <v>105</v>
      </c>
      <c r="J112" s="92"/>
      <c r="K112" s="93"/>
      <c r="L112" s="94"/>
      <c r="M112" s="95"/>
      <c r="N112" s="94"/>
      <c r="O112" s="94"/>
      <c r="P112" s="93"/>
      <c r="Q112" s="93"/>
      <c r="R112" s="93"/>
      <c r="S112" s="96"/>
      <c r="T112" s="97" t="s">
        <v>268</v>
      </c>
      <c r="U112" s="127"/>
      <c r="V112" s="95"/>
      <c r="W112" s="95"/>
      <c r="X112" s="95"/>
      <c r="Y112" s="95"/>
    </row>
    <row r="113" s="99" customFormat="true" ht="18" hidden="true" customHeight="false" outlineLevel="1" collapsed="false">
      <c r="A113" s="115" t="n">
        <v>4114</v>
      </c>
      <c r="B113" s="116" t="s">
        <v>299</v>
      </c>
      <c r="C113" s="117" t="s">
        <v>37</v>
      </c>
      <c r="D113" s="126"/>
      <c r="E113" s="94"/>
      <c r="F113" s="90" t="s">
        <v>105</v>
      </c>
      <c r="G113" s="120" t="n">
        <v>3701</v>
      </c>
      <c r="H113" s="119" t="s">
        <v>294</v>
      </c>
      <c r="I113" s="90" t="s">
        <v>105</v>
      </c>
      <c r="J113" s="92" t="s">
        <v>30</v>
      </c>
      <c r="K113" s="93" t="s">
        <v>30</v>
      </c>
      <c r="L113" s="94" t="s">
        <v>107</v>
      </c>
      <c r="M113" s="95"/>
      <c r="N113" s="94" t="s">
        <v>243</v>
      </c>
      <c r="O113" s="94"/>
      <c r="P113" s="93" t="s">
        <v>37</v>
      </c>
      <c r="Q113" s="93" t="s">
        <v>37</v>
      </c>
      <c r="R113" s="93" t="s">
        <v>37</v>
      </c>
      <c r="S113" s="96" t="s">
        <v>37</v>
      </c>
      <c r="T113" s="121"/>
      <c r="U113" s="122"/>
      <c r="V113" s="95"/>
      <c r="W113" s="95"/>
      <c r="X113" s="95" t="s">
        <v>263</v>
      </c>
      <c r="Y113" s="95" t="e">
        <f aca="false">VLOOKUP(O113,'Taux de valorisation'!A:O,15,FALSE())</f>
        <v>#N/A</v>
      </c>
    </row>
    <row r="114" s="99" customFormat="true" ht="18" hidden="true" customHeight="false" outlineLevel="1" collapsed="false">
      <c r="A114" s="115" t="n">
        <v>4121</v>
      </c>
      <c r="B114" s="116" t="s">
        <v>298</v>
      </c>
      <c r="C114" s="117" t="s">
        <v>37</v>
      </c>
      <c r="D114" s="126"/>
      <c r="E114" s="94"/>
      <c r="F114" s="90" t="s">
        <v>105</v>
      </c>
      <c r="G114" s="120" t="n">
        <v>3621</v>
      </c>
      <c r="H114" s="119" t="s">
        <v>298</v>
      </c>
      <c r="I114" s="90" t="s">
        <v>105</v>
      </c>
      <c r="J114" s="92" t="s">
        <v>30</v>
      </c>
      <c r="K114" s="93" t="s">
        <v>30</v>
      </c>
      <c r="L114" s="94" t="s">
        <v>107</v>
      </c>
      <c r="M114" s="95"/>
      <c r="N114" s="94" t="s">
        <v>243</v>
      </c>
      <c r="O114" s="94"/>
      <c r="P114" s="93" t="s">
        <v>37</v>
      </c>
      <c r="Q114" s="93" t="s">
        <v>37</v>
      </c>
      <c r="R114" s="93" t="s">
        <v>37</v>
      </c>
      <c r="S114" s="96" t="s">
        <v>37</v>
      </c>
      <c r="T114" s="121"/>
      <c r="U114" s="122"/>
      <c r="V114" s="95"/>
      <c r="W114" s="95"/>
      <c r="X114" s="95" t="s">
        <v>263</v>
      </c>
      <c r="Y114" s="95" t="e">
        <f aca="false">VLOOKUP(O114,'Taux de valorisation'!A:O,15,FALSE())</f>
        <v>#N/A</v>
      </c>
    </row>
    <row r="115" s="99" customFormat="true" ht="18" hidden="true" customHeight="false" outlineLevel="1" collapsed="false">
      <c r="A115" s="115" t="n">
        <v>4151</v>
      </c>
      <c r="B115" s="116" t="s">
        <v>300</v>
      </c>
      <c r="C115" s="117" t="s">
        <v>37</v>
      </c>
      <c r="D115" s="126"/>
      <c r="E115" s="94"/>
      <c r="F115" s="90" t="s">
        <v>105</v>
      </c>
      <c r="G115" s="120" t="n">
        <v>3721</v>
      </c>
      <c r="H115" s="119" t="s">
        <v>301</v>
      </c>
      <c r="I115" s="90" t="s">
        <v>105</v>
      </c>
      <c r="J115" s="92" t="s">
        <v>30</v>
      </c>
      <c r="K115" s="93" t="s">
        <v>30</v>
      </c>
      <c r="L115" s="94" t="s">
        <v>107</v>
      </c>
      <c r="M115" s="95"/>
      <c r="N115" s="94" t="s">
        <v>243</v>
      </c>
      <c r="O115" s="94"/>
      <c r="P115" s="93" t="s">
        <v>37</v>
      </c>
      <c r="Q115" s="93" t="s">
        <v>37</v>
      </c>
      <c r="R115" s="93" t="s">
        <v>37</v>
      </c>
      <c r="S115" s="96" t="s">
        <v>37</v>
      </c>
      <c r="T115" s="121"/>
      <c r="U115" s="122"/>
      <c r="V115" s="95"/>
      <c r="W115" s="95"/>
      <c r="X115" s="95" t="s">
        <v>263</v>
      </c>
      <c r="Y115" s="95" t="e">
        <f aca="false">VLOOKUP(O115,'Taux de valorisation'!A:O,15,FALSE())</f>
        <v>#N/A</v>
      </c>
    </row>
    <row r="116" s="99" customFormat="true" ht="18" hidden="true" customHeight="false" outlineLevel="1" collapsed="false">
      <c r="A116" s="115" t="n">
        <v>4161</v>
      </c>
      <c r="B116" s="116" t="s">
        <v>302</v>
      </c>
      <c r="C116" s="117" t="s">
        <v>37</v>
      </c>
      <c r="D116" s="126"/>
      <c r="E116" s="94"/>
      <c r="F116" s="90" t="s">
        <v>105</v>
      </c>
      <c r="G116" s="120" t="n">
        <v>3671</v>
      </c>
      <c r="H116" s="119" t="s">
        <v>303</v>
      </c>
      <c r="I116" s="90" t="s">
        <v>105</v>
      </c>
      <c r="J116" s="92" t="s">
        <v>30</v>
      </c>
      <c r="K116" s="93" t="s">
        <v>30</v>
      </c>
      <c r="L116" s="94" t="s">
        <v>107</v>
      </c>
      <c r="M116" s="95"/>
      <c r="N116" s="94" t="s">
        <v>243</v>
      </c>
      <c r="O116" s="94"/>
      <c r="P116" s="93"/>
      <c r="Q116" s="93"/>
      <c r="R116" s="93"/>
      <c r="S116" s="96"/>
      <c r="T116" s="121"/>
      <c r="U116" s="122"/>
      <c r="V116" s="95"/>
      <c r="W116" s="95"/>
      <c r="X116" s="95"/>
      <c r="Y116" s="95"/>
    </row>
    <row r="117" s="99" customFormat="true" ht="18" hidden="true" customHeight="false" outlineLevel="1" collapsed="false">
      <c r="A117" s="115" t="n">
        <v>4171</v>
      </c>
      <c r="B117" s="116" t="s">
        <v>304</v>
      </c>
      <c r="C117" s="117" t="s">
        <v>37</v>
      </c>
      <c r="D117" s="126"/>
      <c r="E117" s="94"/>
      <c r="F117" s="90" t="s">
        <v>105</v>
      </c>
      <c r="G117" s="120" t="n">
        <v>3731</v>
      </c>
      <c r="H117" s="119" t="s">
        <v>305</v>
      </c>
      <c r="I117" s="90" t="s">
        <v>105</v>
      </c>
      <c r="J117" s="92" t="s">
        <v>30</v>
      </c>
      <c r="K117" s="93" t="s">
        <v>30</v>
      </c>
      <c r="L117" s="94" t="s">
        <v>107</v>
      </c>
      <c r="M117" s="95"/>
      <c r="N117" s="94" t="s">
        <v>243</v>
      </c>
      <c r="O117" s="94"/>
      <c r="P117" s="93"/>
      <c r="Q117" s="93"/>
      <c r="R117" s="93"/>
      <c r="S117" s="96"/>
      <c r="T117" s="121"/>
      <c r="U117" s="122"/>
      <c r="V117" s="95"/>
      <c r="W117" s="95"/>
      <c r="X117" s="95"/>
      <c r="Y117" s="95"/>
    </row>
    <row r="118" s="99" customFormat="true" ht="18" hidden="true" customHeight="false" outlineLevel="1" collapsed="false">
      <c r="A118" s="115" t="n">
        <v>4181</v>
      </c>
      <c r="B118" s="116" t="s">
        <v>306</v>
      </c>
      <c r="C118" s="117" t="s">
        <v>37</v>
      </c>
      <c r="D118" s="126"/>
      <c r="E118" s="94"/>
      <c r="F118" s="90" t="s">
        <v>105</v>
      </c>
      <c r="G118" s="120" t="n">
        <v>3741</v>
      </c>
      <c r="H118" s="119" t="s">
        <v>307</v>
      </c>
      <c r="I118" s="90" t="s">
        <v>105</v>
      </c>
      <c r="J118" s="92" t="s">
        <v>30</v>
      </c>
      <c r="K118" s="93" t="s">
        <v>30</v>
      </c>
      <c r="L118" s="94" t="s">
        <v>107</v>
      </c>
      <c r="M118" s="95"/>
      <c r="N118" s="94" t="s">
        <v>243</v>
      </c>
      <c r="O118" s="94"/>
      <c r="P118" s="93"/>
      <c r="Q118" s="93"/>
      <c r="R118" s="93"/>
      <c r="S118" s="96"/>
      <c r="T118" s="121"/>
      <c r="U118" s="122"/>
      <c r="V118" s="95"/>
      <c r="W118" s="95"/>
      <c r="X118" s="95"/>
      <c r="Y118" s="95"/>
    </row>
    <row r="119" s="99" customFormat="true" ht="18" hidden="true" customHeight="false" outlineLevel="1" collapsed="false">
      <c r="A119" s="115" t="n">
        <v>4191</v>
      </c>
      <c r="B119" s="116" t="s">
        <v>308</v>
      </c>
      <c r="C119" s="117" t="s">
        <v>37</v>
      </c>
      <c r="D119" s="126"/>
      <c r="E119" s="94"/>
      <c r="F119" s="90" t="s">
        <v>105</v>
      </c>
      <c r="G119" s="120" t="n">
        <v>3491</v>
      </c>
      <c r="H119" s="119" t="s">
        <v>309</v>
      </c>
      <c r="I119" s="129" t="s">
        <v>105</v>
      </c>
      <c r="J119" s="92" t="s">
        <v>30</v>
      </c>
      <c r="K119" s="93" t="s">
        <v>30</v>
      </c>
      <c r="L119" s="94" t="s">
        <v>107</v>
      </c>
      <c r="M119" s="95"/>
      <c r="N119" s="94" t="s">
        <v>243</v>
      </c>
      <c r="O119" s="94"/>
      <c r="P119" s="93" t="s">
        <v>37</v>
      </c>
      <c r="Q119" s="93" t="s">
        <v>37</v>
      </c>
      <c r="R119" s="93" t="s">
        <v>37</v>
      </c>
      <c r="S119" s="96" t="s">
        <v>37</v>
      </c>
      <c r="T119" s="121"/>
      <c r="U119" s="122"/>
      <c r="V119" s="95"/>
      <c r="W119" s="95"/>
      <c r="X119" s="95" t="s">
        <v>263</v>
      </c>
      <c r="Y119" s="95" t="e">
        <f aca="false">VLOOKUP(O119,'Taux de valorisation'!A:O,15,FALSE())</f>
        <v>#N/A</v>
      </c>
    </row>
    <row r="120" customFormat="false" ht="18" hidden="false" customHeight="false" outlineLevel="1" collapsed="false">
      <c r="A120" s="70" t="n">
        <v>4102</v>
      </c>
      <c r="B120" s="54" t="s">
        <v>310</v>
      </c>
      <c r="C120" s="46" t="s">
        <v>30</v>
      </c>
      <c r="D120" s="47"/>
      <c r="E120" s="48"/>
      <c r="F120" s="49"/>
      <c r="G120" s="50" t="n">
        <v>3702</v>
      </c>
      <c r="H120" s="54" t="s">
        <v>311</v>
      </c>
      <c r="I120" s="49" t="s">
        <v>32</v>
      </c>
      <c r="J120" s="51" t="s">
        <v>30</v>
      </c>
      <c r="K120" s="52" t="s">
        <v>30</v>
      </c>
      <c r="L120" s="48" t="s">
        <v>34</v>
      </c>
      <c r="M120" s="53"/>
      <c r="N120" s="54"/>
      <c r="O120" s="48"/>
      <c r="P120" s="52"/>
      <c r="Q120" s="52"/>
      <c r="R120" s="52" t="s">
        <v>37</v>
      </c>
      <c r="S120" s="55" t="s">
        <v>37</v>
      </c>
      <c r="T120" s="58"/>
      <c r="U120" s="57" t="s">
        <v>312</v>
      </c>
      <c r="V120" s="53"/>
      <c r="W120" s="53"/>
      <c r="X120" s="53" t="s">
        <v>263</v>
      </c>
      <c r="Y120" s="53" t="e">
        <f aca="false">VLOOKUP(O120,'Taux de valorisation'!A:O,15,FALSE())</f>
        <v>#N/A</v>
      </c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</row>
    <row r="121" customFormat="false" ht="18" hidden="false" customHeight="false" outlineLevel="1" collapsed="false">
      <c r="A121" s="128" t="n">
        <v>4161</v>
      </c>
      <c r="B121" s="71" t="s">
        <v>313</v>
      </c>
      <c r="C121" s="46" t="s">
        <v>30</v>
      </c>
      <c r="D121" s="47"/>
      <c r="E121" s="48"/>
      <c r="F121" s="49"/>
      <c r="G121" s="101" t="n">
        <v>3671</v>
      </c>
      <c r="H121" s="78" t="s">
        <v>314</v>
      </c>
      <c r="I121" s="105" t="s">
        <v>32</v>
      </c>
      <c r="J121" s="51" t="s">
        <v>30</v>
      </c>
      <c r="K121" s="52" t="s">
        <v>30</v>
      </c>
      <c r="L121" s="48" t="s">
        <v>34</v>
      </c>
      <c r="M121" s="53"/>
      <c r="N121" s="54"/>
      <c r="O121" s="48" t="s">
        <v>36</v>
      </c>
      <c r="P121" s="52"/>
      <c r="Q121" s="52"/>
      <c r="R121" s="52" t="s">
        <v>37</v>
      </c>
      <c r="S121" s="55" t="s">
        <v>37</v>
      </c>
      <c r="T121" s="72"/>
      <c r="U121" s="57" t="s">
        <v>315</v>
      </c>
      <c r="V121" s="53"/>
      <c r="W121" s="53"/>
      <c r="X121" s="53"/>
      <c r="Y121" s="53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</row>
    <row r="122" customFormat="false" ht="18" hidden="false" customHeight="false" outlineLevel="1" collapsed="false">
      <c r="A122" s="70" t="n">
        <v>4103</v>
      </c>
      <c r="B122" s="54" t="s">
        <v>316</v>
      </c>
      <c r="C122" s="46" t="s">
        <v>30</v>
      </c>
      <c r="D122" s="47"/>
      <c r="E122" s="48"/>
      <c r="F122" s="49"/>
      <c r="G122" s="50" t="n">
        <v>3703</v>
      </c>
      <c r="H122" s="54" t="s">
        <v>317</v>
      </c>
      <c r="I122" s="49" t="s">
        <v>32</v>
      </c>
      <c r="J122" s="51" t="s">
        <v>30</v>
      </c>
      <c r="K122" s="52" t="s">
        <v>30</v>
      </c>
      <c r="L122" s="48" t="s">
        <v>34</v>
      </c>
      <c r="M122" s="53"/>
      <c r="N122" s="54"/>
      <c r="O122" s="48"/>
      <c r="P122" s="52"/>
      <c r="Q122" s="52"/>
      <c r="R122" s="52" t="s">
        <v>37</v>
      </c>
      <c r="S122" s="55" t="s">
        <v>37</v>
      </c>
      <c r="T122" s="58"/>
      <c r="U122" s="57" t="s">
        <v>318</v>
      </c>
      <c r="V122" s="53"/>
      <c r="W122" s="53"/>
      <c r="X122" s="53" t="s">
        <v>263</v>
      </c>
      <c r="Y122" s="53" t="e">
        <f aca="false">VLOOKUP(O122,'Taux de valorisation'!A:O,15,FALSE())</f>
        <v>#N/A</v>
      </c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</row>
    <row r="123" customFormat="false" ht="12.75" hidden="false" customHeight="false" outlineLevel="0" collapsed="false">
      <c r="A123" s="74" t="s">
        <v>319</v>
      </c>
      <c r="B123" s="75" t="s">
        <v>320</v>
      </c>
      <c r="C123" s="61"/>
      <c r="D123" s="62"/>
      <c r="E123" s="63"/>
      <c r="F123" s="64"/>
      <c r="G123" s="65"/>
      <c r="H123" s="63"/>
      <c r="I123" s="66"/>
      <c r="J123" s="62"/>
      <c r="K123" s="67"/>
      <c r="L123" s="63"/>
      <c r="M123" s="76"/>
      <c r="N123" s="63"/>
      <c r="O123" s="63"/>
      <c r="P123" s="63"/>
      <c r="Q123" s="63"/>
      <c r="R123" s="63"/>
      <c r="S123" s="64"/>
      <c r="T123" s="58"/>
      <c r="U123" s="59"/>
      <c r="V123" s="76"/>
      <c r="W123" s="76"/>
      <c r="X123" s="76"/>
      <c r="Y123" s="76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</row>
    <row r="124" customFormat="false" ht="18" hidden="false" customHeight="false" outlineLevel="1" collapsed="false">
      <c r="A124" s="44" t="n">
        <v>3300</v>
      </c>
      <c r="B124" s="45" t="s">
        <v>321</v>
      </c>
      <c r="C124" s="46" t="s">
        <v>30</v>
      </c>
      <c r="D124" s="100" t="n">
        <v>3861</v>
      </c>
      <c r="E124" s="78" t="s">
        <v>322</v>
      </c>
      <c r="F124" s="49" t="s">
        <v>32</v>
      </c>
      <c r="G124" s="50" t="n">
        <v>3610</v>
      </c>
      <c r="H124" s="78" t="s">
        <v>323</v>
      </c>
      <c r="I124" s="49" t="s">
        <v>32</v>
      </c>
      <c r="J124" s="51" t="s">
        <v>37</v>
      </c>
      <c r="K124" s="52" t="s">
        <v>37</v>
      </c>
      <c r="L124" s="48" t="s">
        <v>34</v>
      </c>
      <c r="M124" s="53"/>
      <c r="N124" s="54"/>
      <c r="O124" s="48"/>
      <c r="P124" s="52" t="s">
        <v>37</v>
      </c>
      <c r="Q124" s="52" t="s">
        <v>37</v>
      </c>
      <c r="R124" s="52" t="s">
        <v>37</v>
      </c>
      <c r="S124" s="55" t="s">
        <v>37</v>
      </c>
      <c r="T124" s="58"/>
      <c r="U124" s="57" t="s">
        <v>324</v>
      </c>
      <c r="V124" s="53"/>
      <c r="W124" s="53" t="s">
        <v>262</v>
      </c>
      <c r="X124" s="53" t="s">
        <v>263</v>
      </c>
      <c r="Y124" s="53" t="e">
        <f aca="false">VLOOKUP(O124,'Taux de valorisation'!A:O,15,FALSE())</f>
        <v>#N/A</v>
      </c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</row>
    <row r="125" customFormat="false" ht="18" hidden="false" customHeight="false" outlineLevel="1" collapsed="false">
      <c r="A125" s="44" t="n">
        <v>3310</v>
      </c>
      <c r="B125" s="45" t="s">
        <v>325</v>
      </c>
      <c r="C125" s="46" t="s">
        <v>30</v>
      </c>
      <c r="D125" s="47"/>
      <c r="E125" s="48"/>
      <c r="F125" s="49"/>
      <c r="G125" s="50" t="n">
        <v>3610</v>
      </c>
      <c r="H125" s="78" t="s">
        <v>323</v>
      </c>
      <c r="I125" s="49" t="s">
        <v>32</v>
      </c>
      <c r="J125" s="51" t="s">
        <v>37</v>
      </c>
      <c r="K125" s="52" t="s">
        <v>37</v>
      </c>
      <c r="L125" s="48" t="s">
        <v>34</v>
      </c>
      <c r="M125" s="53"/>
      <c r="N125" s="54"/>
      <c r="O125" s="48"/>
      <c r="P125" s="52" t="s">
        <v>37</v>
      </c>
      <c r="Q125" s="52" t="s">
        <v>37</v>
      </c>
      <c r="R125" s="52" t="s">
        <v>37</v>
      </c>
      <c r="S125" s="55" t="s">
        <v>37</v>
      </c>
      <c r="T125" s="58"/>
      <c r="U125" s="57" t="s">
        <v>326</v>
      </c>
      <c r="V125" s="53"/>
      <c r="W125" s="53" t="s">
        <v>262</v>
      </c>
      <c r="X125" s="53" t="s">
        <v>263</v>
      </c>
      <c r="Y125" s="53" t="e">
        <f aca="false">VLOOKUP(O125,'Taux de valorisation'!A:O,15,FALSE())</f>
        <v>#N/A</v>
      </c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</row>
    <row r="126" customFormat="false" ht="18" hidden="true" customHeight="false" outlineLevel="1" collapsed="false">
      <c r="A126" s="44" t="n">
        <v>9240</v>
      </c>
      <c r="B126" s="45" t="s">
        <v>327</v>
      </c>
      <c r="C126" s="46" t="s">
        <v>37</v>
      </c>
      <c r="D126" s="47" t="s">
        <v>328</v>
      </c>
      <c r="E126" s="48" t="s">
        <v>329</v>
      </c>
      <c r="F126" s="48" t="s">
        <v>271</v>
      </c>
      <c r="G126" s="50" t="s">
        <v>330</v>
      </c>
      <c r="H126" s="48" t="s">
        <v>331</v>
      </c>
      <c r="I126" s="48" t="s">
        <v>271</v>
      </c>
      <c r="J126" s="51" t="s">
        <v>37</v>
      </c>
      <c r="K126" s="52" t="s">
        <v>37</v>
      </c>
      <c r="L126" s="48"/>
      <c r="M126" s="53"/>
      <c r="N126" s="54"/>
      <c r="O126" s="48"/>
      <c r="P126" s="52" t="s">
        <v>37</v>
      </c>
      <c r="Q126" s="52" t="s">
        <v>37</v>
      </c>
      <c r="R126" s="52" t="s">
        <v>37</v>
      </c>
      <c r="S126" s="55" t="s">
        <v>37</v>
      </c>
      <c r="T126" s="58"/>
      <c r="U126" s="59"/>
      <c r="V126" s="53" t="s">
        <v>332</v>
      </c>
      <c r="W126" s="53" t="s">
        <v>332</v>
      </c>
      <c r="X126" s="53" t="s">
        <v>42</v>
      </c>
      <c r="Y126" s="53" t="s">
        <v>42</v>
      </c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</row>
    <row r="127" customFormat="false" ht="13.5" hidden="false" customHeight="true" outlineLevel="1" collapsed="false">
      <c r="A127" s="60" t="s">
        <v>71</v>
      </c>
      <c r="B127" s="60"/>
      <c r="C127" s="61"/>
      <c r="D127" s="62"/>
      <c r="E127" s="63"/>
      <c r="F127" s="64"/>
      <c r="G127" s="59"/>
      <c r="H127" s="63"/>
      <c r="I127" s="66"/>
      <c r="J127" s="130"/>
      <c r="K127" s="67"/>
      <c r="L127" s="63"/>
      <c r="M127" s="76"/>
      <c r="N127" s="63"/>
      <c r="O127" s="63"/>
      <c r="P127" s="63"/>
      <c r="Q127" s="63"/>
      <c r="R127" s="63"/>
      <c r="S127" s="64"/>
      <c r="T127" s="58"/>
      <c r="U127" s="59"/>
      <c r="V127" s="76"/>
      <c r="W127" s="76"/>
      <c r="X127" s="76"/>
      <c r="Y127" s="76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</row>
    <row r="128" s="99" customFormat="true" ht="18" hidden="true" customHeight="false" outlineLevel="1" collapsed="false">
      <c r="A128" s="115" t="n">
        <v>3301</v>
      </c>
      <c r="B128" s="116" t="s">
        <v>333</v>
      </c>
      <c r="C128" s="117" t="s">
        <v>37</v>
      </c>
      <c r="D128" s="118" t="n">
        <v>3861</v>
      </c>
      <c r="E128" s="119" t="s">
        <v>322</v>
      </c>
      <c r="F128" s="90" t="s">
        <v>32</v>
      </c>
      <c r="G128" s="120" t="n">
        <v>3611</v>
      </c>
      <c r="H128" s="119" t="s">
        <v>334</v>
      </c>
      <c r="I128" s="90" t="s">
        <v>105</v>
      </c>
      <c r="J128" s="92" t="s">
        <v>30</v>
      </c>
      <c r="K128" s="93" t="s">
        <v>30</v>
      </c>
      <c r="L128" s="94" t="s">
        <v>107</v>
      </c>
      <c r="M128" s="95"/>
      <c r="N128" s="94" t="s">
        <v>243</v>
      </c>
      <c r="O128" s="94"/>
      <c r="P128" s="93" t="s">
        <v>37</v>
      </c>
      <c r="Q128" s="93" t="s">
        <v>37</v>
      </c>
      <c r="R128" s="93" t="s">
        <v>37</v>
      </c>
      <c r="S128" s="96" t="s">
        <v>37</v>
      </c>
      <c r="T128" s="121"/>
      <c r="U128" s="122"/>
      <c r="V128" s="95"/>
      <c r="W128" s="95"/>
      <c r="X128" s="95"/>
      <c r="Y128" s="95" t="e">
        <f aca="false">VLOOKUP(O128,'Taux de valorisation'!A:O,15,FALSE())</f>
        <v>#N/A</v>
      </c>
    </row>
    <row r="129" s="99" customFormat="true" ht="18" hidden="true" customHeight="false" outlineLevel="1" collapsed="false">
      <c r="A129" s="115" t="n">
        <v>3311</v>
      </c>
      <c r="B129" s="116" t="s">
        <v>335</v>
      </c>
      <c r="C129" s="117" t="s">
        <v>37</v>
      </c>
      <c r="D129" s="126"/>
      <c r="E129" s="94"/>
      <c r="F129" s="90"/>
      <c r="G129" s="120" t="n">
        <v>3611</v>
      </c>
      <c r="H129" s="119" t="s">
        <v>334</v>
      </c>
      <c r="I129" s="90" t="s">
        <v>105</v>
      </c>
      <c r="J129" s="92" t="s">
        <v>30</v>
      </c>
      <c r="K129" s="93" t="s">
        <v>30</v>
      </c>
      <c r="L129" s="94" t="s">
        <v>107</v>
      </c>
      <c r="M129" s="95"/>
      <c r="N129" s="94" t="s">
        <v>243</v>
      </c>
      <c r="O129" s="94"/>
      <c r="P129" s="93" t="s">
        <v>37</v>
      </c>
      <c r="Q129" s="93" t="s">
        <v>37</v>
      </c>
      <c r="R129" s="93" t="s">
        <v>37</v>
      </c>
      <c r="S129" s="96" t="s">
        <v>37</v>
      </c>
      <c r="T129" s="121"/>
      <c r="U129" s="122"/>
      <c r="V129" s="95"/>
      <c r="W129" s="95"/>
      <c r="X129" s="95"/>
      <c r="Y129" s="95" t="e">
        <f aca="false">VLOOKUP(O129,'Taux de valorisation'!A:O,15,FALSE())</f>
        <v>#N/A</v>
      </c>
    </row>
    <row r="130" customFormat="false" ht="18" hidden="true" customHeight="false" outlineLevel="1" collapsed="false">
      <c r="A130" s="70"/>
      <c r="B130" s="48"/>
      <c r="C130" s="46" t="s">
        <v>37</v>
      </c>
      <c r="D130" s="47"/>
      <c r="E130" s="48"/>
      <c r="F130" s="49"/>
      <c r="G130" s="131"/>
      <c r="H130" s="131"/>
      <c r="I130" s="49"/>
      <c r="J130" s="51" t="s">
        <v>37</v>
      </c>
      <c r="K130" s="52" t="s">
        <v>37</v>
      </c>
      <c r="L130" s="48"/>
      <c r="M130" s="53"/>
      <c r="N130" s="54"/>
      <c r="O130" s="48"/>
      <c r="P130" s="52" t="s">
        <v>37</v>
      </c>
      <c r="Q130" s="52" t="s">
        <v>37</v>
      </c>
      <c r="R130" s="52" t="s">
        <v>37</v>
      </c>
      <c r="S130" s="55" t="s">
        <v>37</v>
      </c>
      <c r="T130" s="58"/>
      <c r="U130" s="59"/>
      <c r="V130" s="53"/>
      <c r="W130" s="53"/>
      <c r="X130" s="53"/>
      <c r="Y130" s="53" t="e">
        <f aca="false">VLOOKUP(O130,'Taux de valorisation'!A:O,15,FALSE())</f>
        <v>#N/A</v>
      </c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</row>
    <row r="131" customFormat="false" ht="18" hidden="true" customHeight="false" outlineLevel="1" collapsed="false">
      <c r="A131" s="70"/>
      <c r="B131" s="48"/>
      <c r="C131" s="46" t="s">
        <v>37</v>
      </c>
      <c r="D131" s="47"/>
      <c r="E131" s="48"/>
      <c r="F131" s="49"/>
      <c r="G131" s="131"/>
      <c r="H131" s="131"/>
      <c r="I131" s="49"/>
      <c r="J131" s="51" t="s">
        <v>37</v>
      </c>
      <c r="K131" s="52" t="s">
        <v>37</v>
      </c>
      <c r="L131" s="48"/>
      <c r="M131" s="53"/>
      <c r="N131" s="54"/>
      <c r="O131" s="48"/>
      <c r="P131" s="52" t="s">
        <v>37</v>
      </c>
      <c r="Q131" s="52" t="s">
        <v>37</v>
      </c>
      <c r="R131" s="52" t="s">
        <v>37</v>
      </c>
      <c r="S131" s="55" t="s">
        <v>37</v>
      </c>
      <c r="T131" s="58"/>
      <c r="U131" s="59"/>
      <c r="V131" s="53"/>
      <c r="W131" s="53"/>
      <c r="X131" s="53"/>
      <c r="Y131" s="53" t="e">
        <f aca="false">VLOOKUP(O131,'Taux de valorisation'!A:O,15,FALSE())</f>
        <v>#N/A</v>
      </c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</row>
    <row r="132" customFormat="false" ht="12.75" hidden="false" customHeight="false" outlineLevel="0" collapsed="false">
      <c r="A132" s="74" t="s">
        <v>336</v>
      </c>
      <c r="B132" s="75" t="s">
        <v>337</v>
      </c>
      <c r="C132" s="61"/>
      <c r="D132" s="62"/>
      <c r="E132" s="63"/>
      <c r="F132" s="64"/>
      <c r="G132" s="65"/>
      <c r="H132" s="63"/>
      <c r="I132" s="66"/>
      <c r="J132" s="62"/>
      <c r="K132" s="67"/>
      <c r="L132" s="63"/>
      <c r="M132" s="76"/>
      <c r="N132" s="63"/>
      <c r="O132" s="63"/>
      <c r="P132" s="63"/>
      <c r="Q132" s="63"/>
      <c r="R132" s="63"/>
      <c r="S132" s="64"/>
      <c r="T132" s="58"/>
      <c r="U132" s="59"/>
      <c r="V132" s="76"/>
      <c r="W132" s="76"/>
      <c r="X132" s="76"/>
      <c r="Y132" s="76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</row>
    <row r="133" customFormat="false" ht="18" hidden="true" customHeight="false" outlineLevel="1" collapsed="false">
      <c r="A133" s="44" t="n">
        <v>9000</v>
      </c>
      <c r="B133" s="45" t="s">
        <v>338</v>
      </c>
      <c r="C133" s="46" t="s">
        <v>37</v>
      </c>
      <c r="D133" s="47"/>
      <c r="E133" s="48"/>
      <c r="F133" s="49"/>
      <c r="G133" s="50"/>
      <c r="H133" s="48"/>
      <c r="I133" s="49"/>
      <c r="J133" s="51" t="s">
        <v>37</v>
      </c>
      <c r="K133" s="52" t="s">
        <v>37</v>
      </c>
      <c r="L133" s="48"/>
      <c r="M133" s="53"/>
      <c r="N133" s="54"/>
      <c r="O133" s="48"/>
      <c r="P133" s="52" t="s">
        <v>37</v>
      </c>
      <c r="Q133" s="52" t="s">
        <v>37</v>
      </c>
      <c r="R133" s="52" t="s">
        <v>37</v>
      </c>
      <c r="S133" s="55" t="s">
        <v>37</v>
      </c>
      <c r="T133" s="58"/>
      <c r="U133" s="59"/>
      <c r="V133" s="53"/>
      <c r="W133" s="53"/>
      <c r="X133" s="53"/>
      <c r="Y133" s="53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</row>
    <row r="134" customFormat="false" ht="33" hidden="true" customHeight="false" outlineLevel="1" collapsed="false">
      <c r="A134" s="44" t="n">
        <v>9010</v>
      </c>
      <c r="B134" s="45" t="s">
        <v>339</v>
      </c>
      <c r="C134" s="46" t="s">
        <v>37</v>
      </c>
      <c r="D134" s="47"/>
      <c r="E134" s="132"/>
      <c r="F134" s="49"/>
      <c r="G134" s="50"/>
      <c r="H134" s="48"/>
      <c r="I134" s="49"/>
      <c r="J134" s="51" t="s">
        <v>30</v>
      </c>
      <c r="K134" s="52" t="s">
        <v>37</v>
      </c>
      <c r="L134" s="48"/>
      <c r="M134" s="53"/>
      <c r="N134" s="54"/>
      <c r="O134" s="48"/>
      <c r="P134" s="52" t="s">
        <v>37</v>
      </c>
      <c r="Q134" s="52" t="s">
        <v>37</v>
      </c>
      <c r="R134" s="52" t="s">
        <v>37</v>
      </c>
      <c r="S134" s="55" t="s">
        <v>37</v>
      </c>
      <c r="T134" s="72"/>
      <c r="U134" s="73"/>
      <c r="V134" s="53"/>
      <c r="W134" s="53"/>
      <c r="X134" s="53"/>
      <c r="Y134" s="53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</row>
    <row r="135" customFormat="false" ht="18" hidden="true" customHeight="false" outlineLevel="1" collapsed="false">
      <c r="A135" s="44" t="n">
        <v>9100</v>
      </c>
      <c r="B135" s="45" t="s">
        <v>340</v>
      </c>
      <c r="C135" s="46" t="s">
        <v>37</v>
      </c>
      <c r="D135" s="47"/>
      <c r="E135" s="48"/>
      <c r="F135" s="49"/>
      <c r="G135" s="50"/>
      <c r="H135" s="48"/>
      <c r="I135" s="49"/>
      <c r="J135" s="51" t="s">
        <v>30</v>
      </c>
      <c r="K135" s="52" t="s">
        <v>30</v>
      </c>
      <c r="L135" s="48" t="s">
        <v>34</v>
      </c>
      <c r="M135" s="53"/>
      <c r="N135" s="54"/>
      <c r="O135" s="48"/>
      <c r="P135" s="52" t="s">
        <v>37</v>
      </c>
      <c r="Q135" s="52" t="s">
        <v>37</v>
      </c>
      <c r="R135" s="52" t="s">
        <v>37</v>
      </c>
      <c r="S135" s="55" t="s">
        <v>30</v>
      </c>
      <c r="T135" s="72"/>
      <c r="U135" s="73"/>
      <c r="V135" s="53"/>
      <c r="W135" s="53"/>
      <c r="X135" s="53"/>
      <c r="Y135" s="53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</row>
    <row r="136" customFormat="false" ht="18" hidden="true" customHeight="false" outlineLevel="1" collapsed="false">
      <c r="A136" s="44" t="n">
        <v>9110</v>
      </c>
      <c r="B136" s="45" t="s">
        <v>341</v>
      </c>
      <c r="C136" s="46" t="s">
        <v>37</v>
      </c>
      <c r="D136" s="47"/>
      <c r="E136" s="48"/>
      <c r="F136" s="49"/>
      <c r="G136" s="50"/>
      <c r="H136" s="48"/>
      <c r="I136" s="49"/>
      <c r="J136" s="51" t="s">
        <v>37</v>
      </c>
      <c r="K136" s="52" t="s">
        <v>37</v>
      </c>
      <c r="L136" s="48"/>
      <c r="M136" s="53"/>
      <c r="N136" s="54"/>
      <c r="O136" s="48"/>
      <c r="P136" s="52" t="s">
        <v>37</v>
      </c>
      <c r="Q136" s="52" t="s">
        <v>37</v>
      </c>
      <c r="R136" s="52" t="s">
        <v>37</v>
      </c>
      <c r="S136" s="55" t="s">
        <v>37</v>
      </c>
      <c r="T136" s="58"/>
      <c r="U136" s="59"/>
      <c r="V136" s="53"/>
      <c r="W136" s="53"/>
      <c r="X136" s="53"/>
      <c r="Y136" s="53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</row>
    <row r="137" customFormat="false" ht="18" hidden="true" customHeight="false" outlineLevel="1" collapsed="false">
      <c r="A137" s="44" t="n">
        <v>9120</v>
      </c>
      <c r="B137" s="45" t="s">
        <v>342</v>
      </c>
      <c r="C137" s="46" t="s">
        <v>37</v>
      </c>
      <c r="D137" s="47"/>
      <c r="E137" s="48"/>
      <c r="F137" s="49"/>
      <c r="G137" s="50"/>
      <c r="H137" s="48"/>
      <c r="I137" s="49"/>
      <c r="J137" s="51" t="s">
        <v>37</v>
      </c>
      <c r="K137" s="52" t="s">
        <v>37</v>
      </c>
      <c r="L137" s="48"/>
      <c r="M137" s="53"/>
      <c r="N137" s="54"/>
      <c r="O137" s="48"/>
      <c r="P137" s="52" t="s">
        <v>37</v>
      </c>
      <c r="Q137" s="52" t="s">
        <v>37</v>
      </c>
      <c r="R137" s="52" t="s">
        <v>37</v>
      </c>
      <c r="S137" s="55" t="s">
        <v>37</v>
      </c>
      <c r="T137" s="58"/>
      <c r="U137" s="59"/>
      <c r="V137" s="53"/>
      <c r="W137" s="53"/>
      <c r="X137" s="53"/>
      <c r="Y137" s="53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</row>
    <row r="138" customFormat="false" ht="18" hidden="true" customHeight="false" outlineLevel="1" collapsed="false">
      <c r="A138" s="44" t="n">
        <v>9130</v>
      </c>
      <c r="B138" s="45" t="s">
        <v>343</v>
      </c>
      <c r="C138" s="46" t="s">
        <v>37</v>
      </c>
      <c r="D138" s="47"/>
      <c r="E138" s="48"/>
      <c r="F138" s="49"/>
      <c r="G138" s="50"/>
      <c r="H138" s="48"/>
      <c r="I138" s="49"/>
      <c r="J138" s="51" t="s">
        <v>37</v>
      </c>
      <c r="K138" s="52" t="s">
        <v>37</v>
      </c>
      <c r="L138" s="48"/>
      <c r="M138" s="53"/>
      <c r="N138" s="54"/>
      <c r="O138" s="48"/>
      <c r="P138" s="52" t="s">
        <v>37</v>
      </c>
      <c r="Q138" s="52" t="s">
        <v>37</v>
      </c>
      <c r="R138" s="52" t="s">
        <v>37</v>
      </c>
      <c r="S138" s="55" t="s">
        <v>37</v>
      </c>
      <c r="T138" s="58"/>
      <c r="U138" s="59"/>
      <c r="V138" s="53"/>
      <c r="W138" s="53"/>
      <c r="X138" s="53"/>
      <c r="Y138" s="53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</row>
    <row r="139" customFormat="false" ht="18" hidden="true" customHeight="false" outlineLevel="1" collapsed="false">
      <c r="A139" s="44" t="n">
        <v>9140</v>
      </c>
      <c r="B139" s="45" t="s">
        <v>344</v>
      </c>
      <c r="C139" s="46" t="s">
        <v>37</v>
      </c>
      <c r="D139" s="47"/>
      <c r="E139" s="48"/>
      <c r="F139" s="49"/>
      <c r="G139" s="50"/>
      <c r="H139" s="48"/>
      <c r="I139" s="49"/>
      <c r="J139" s="51" t="s">
        <v>37</v>
      </c>
      <c r="K139" s="52" t="s">
        <v>37</v>
      </c>
      <c r="L139" s="48"/>
      <c r="M139" s="53"/>
      <c r="N139" s="54"/>
      <c r="O139" s="48"/>
      <c r="P139" s="52" t="s">
        <v>37</v>
      </c>
      <c r="Q139" s="52" t="s">
        <v>37</v>
      </c>
      <c r="R139" s="52" t="s">
        <v>37</v>
      </c>
      <c r="S139" s="55" t="s">
        <v>37</v>
      </c>
      <c r="T139" s="58"/>
      <c r="U139" s="59"/>
      <c r="V139" s="53"/>
      <c r="W139" s="53"/>
      <c r="X139" s="53"/>
      <c r="Y139" s="53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</row>
    <row r="140" customFormat="false" ht="18" hidden="true" customHeight="false" outlineLevel="1" collapsed="false">
      <c r="A140" s="44" t="n">
        <v>9150</v>
      </c>
      <c r="B140" s="45" t="s">
        <v>345</v>
      </c>
      <c r="C140" s="46" t="s">
        <v>37</v>
      </c>
      <c r="D140" s="47"/>
      <c r="E140" s="48"/>
      <c r="F140" s="49"/>
      <c r="G140" s="50"/>
      <c r="H140" s="48"/>
      <c r="I140" s="49"/>
      <c r="J140" s="51" t="s">
        <v>37</v>
      </c>
      <c r="K140" s="52" t="s">
        <v>37</v>
      </c>
      <c r="L140" s="48"/>
      <c r="M140" s="53"/>
      <c r="N140" s="54"/>
      <c r="O140" s="48"/>
      <c r="P140" s="52" t="s">
        <v>37</v>
      </c>
      <c r="Q140" s="52" t="s">
        <v>37</v>
      </c>
      <c r="R140" s="52" t="s">
        <v>37</v>
      </c>
      <c r="S140" s="55" t="s">
        <v>37</v>
      </c>
      <c r="T140" s="58"/>
      <c r="U140" s="59"/>
      <c r="V140" s="53"/>
      <c r="W140" s="53"/>
      <c r="X140" s="53"/>
      <c r="Y140" s="53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  <c r="FR140" s="0"/>
      <c r="FS140" s="0"/>
      <c r="FT140" s="0"/>
      <c r="FU140" s="0"/>
      <c r="FV140" s="0"/>
      <c r="FW140" s="0"/>
      <c r="FX140" s="0"/>
      <c r="FY140" s="0"/>
      <c r="FZ140" s="0"/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</row>
    <row r="141" customFormat="false" ht="18" hidden="true" customHeight="false" outlineLevel="1" collapsed="false">
      <c r="A141" s="44" t="n">
        <v>9160</v>
      </c>
      <c r="B141" s="45" t="s">
        <v>346</v>
      </c>
      <c r="C141" s="46" t="s">
        <v>37</v>
      </c>
      <c r="D141" s="47"/>
      <c r="E141" s="48"/>
      <c r="F141" s="49"/>
      <c r="G141" s="50"/>
      <c r="H141" s="48"/>
      <c r="I141" s="49"/>
      <c r="J141" s="51" t="s">
        <v>37</v>
      </c>
      <c r="K141" s="52" t="s">
        <v>37</v>
      </c>
      <c r="L141" s="48"/>
      <c r="M141" s="53"/>
      <c r="N141" s="54"/>
      <c r="O141" s="48"/>
      <c r="P141" s="52" t="s">
        <v>37</v>
      </c>
      <c r="Q141" s="52" t="s">
        <v>37</v>
      </c>
      <c r="R141" s="52" t="s">
        <v>37</v>
      </c>
      <c r="S141" s="55" t="s">
        <v>37</v>
      </c>
      <c r="T141" s="58"/>
      <c r="U141" s="59"/>
      <c r="V141" s="53"/>
      <c r="W141" s="53"/>
      <c r="X141" s="53"/>
      <c r="Y141" s="53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  <c r="FR141" s="0"/>
      <c r="FS141" s="0"/>
      <c r="FT141" s="0"/>
      <c r="FU141" s="0"/>
      <c r="FV141" s="0"/>
      <c r="FW141" s="0"/>
      <c r="FX141" s="0"/>
      <c r="FY141" s="0"/>
      <c r="FZ141" s="0"/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</row>
    <row r="142" customFormat="false" ht="18" hidden="true" customHeight="false" outlineLevel="1" collapsed="false">
      <c r="A142" s="44" t="n">
        <v>9200</v>
      </c>
      <c r="B142" s="45" t="s">
        <v>347</v>
      </c>
      <c r="C142" s="46" t="s">
        <v>37</v>
      </c>
      <c r="D142" s="47"/>
      <c r="E142" s="48"/>
      <c r="F142" s="49"/>
      <c r="G142" s="50"/>
      <c r="H142" s="48"/>
      <c r="I142" s="49"/>
      <c r="J142" s="51" t="s">
        <v>30</v>
      </c>
      <c r="K142" s="52" t="s">
        <v>30</v>
      </c>
      <c r="L142" s="48" t="s">
        <v>34</v>
      </c>
      <c r="M142" s="53"/>
      <c r="N142" s="54"/>
      <c r="O142" s="48"/>
      <c r="P142" s="52" t="s">
        <v>37</v>
      </c>
      <c r="Q142" s="52" t="s">
        <v>37</v>
      </c>
      <c r="R142" s="52" t="s">
        <v>37</v>
      </c>
      <c r="S142" s="55" t="s">
        <v>30</v>
      </c>
      <c r="T142" s="72"/>
      <c r="U142" s="73"/>
      <c r="V142" s="53"/>
      <c r="W142" s="53"/>
      <c r="X142" s="53"/>
      <c r="Y142" s="53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  <c r="FR142" s="0"/>
      <c r="FS142" s="0"/>
      <c r="FT142" s="0"/>
      <c r="FU142" s="0"/>
      <c r="FV142" s="0"/>
      <c r="FW142" s="0"/>
      <c r="FX142" s="0"/>
      <c r="FY142" s="0"/>
      <c r="FZ142" s="0"/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</row>
    <row r="143" customFormat="false" ht="18" hidden="true" customHeight="false" outlineLevel="1" collapsed="false">
      <c r="A143" s="44" t="n">
        <v>9210</v>
      </c>
      <c r="B143" s="45" t="s">
        <v>348</v>
      </c>
      <c r="C143" s="46" t="s">
        <v>37</v>
      </c>
      <c r="D143" s="47"/>
      <c r="E143" s="48"/>
      <c r="F143" s="49"/>
      <c r="G143" s="50"/>
      <c r="H143" s="48"/>
      <c r="I143" s="49"/>
      <c r="J143" s="51" t="s">
        <v>37</v>
      </c>
      <c r="K143" s="52" t="s">
        <v>37</v>
      </c>
      <c r="L143" s="48"/>
      <c r="M143" s="53"/>
      <c r="N143" s="54"/>
      <c r="O143" s="48"/>
      <c r="P143" s="52" t="s">
        <v>37</v>
      </c>
      <c r="Q143" s="52" t="s">
        <v>37</v>
      </c>
      <c r="R143" s="52" t="s">
        <v>37</v>
      </c>
      <c r="S143" s="55" t="s">
        <v>37</v>
      </c>
      <c r="T143" s="58"/>
      <c r="U143" s="59"/>
      <c r="V143" s="53"/>
      <c r="W143" s="53"/>
      <c r="X143" s="53"/>
      <c r="Y143" s="53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</row>
    <row r="144" customFormat="false" ht="18" hidden="true" customHeight="false" outlineLevel="1" collapsed="false">
      <c r="A144" s="44" t="n">
        <v>9220</v>
      </c>
      <c r="B144" s="45" t="s">
        <v>349</v>
      </c>
      <c r="C144" s="46" t="s">
        <v>37</v>
      </c>
      <c r="D144" s="47"/>
      <c r="E144" s="48"/>
      <c r="F144" s="49"/>
      <c r="G144" s="50"/>
      <c r="H144" s="48"/>
      <c r="I144" s="49"/>
      <c r="J144" s="51" t="s">
        <v>37</v>
      </c>
      <c r="K144" s="52" t="s">
        <v>37</v>
      </c>
      <c r="L144" s="48"/>
      <c r="M144" s="53"/>
      <c r="N144" s="54"/>
      <c r="O144" s="48"/>
      <c r="P144" s="52" t="s">
        <v>37</v>
      </c>
      <c r="Q144" s="52" t="s">
        <v>37</v>
      </c>
      <c r="R144" s="52" t="s">
        <v>37</v>
      </c>
      <c r="S144" s="55" t="s">
        <v>37</v>
      </c>
      <c r="T144" s="58"/>
      <c r="U144" s="59"/>
      <c r="V144" s="53"/>
      <c r="W144" s="53"/>
      <c r="X144" s="53"/>
      <c r="Y144" s="53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</row>
    <row r="145" customFormat="false" ht="18" hidden="true" customHeight="false" outlineLevel="1" collapsed="false">
      <c r="A145" s="44" t="n">
        <v>9230</v>
      </c>
      <c r="B145" s="45" t="s">
        <v>350</v>
      </c>
      <c r="C145" s="46" t="s">
        <v>37</v>
      </c>
      <c r="D145" s="47"/>
      <c r="E145" s="48"/>
      <c r="F145" s="49"/>
      <c r="G145" s="50"/>
      <c r="H145" s="48"/>
      <c r="I145" s="49"/>
      <c r="J145" s="51" t="s">
        <v>37</v>
      </c>
      <c r="K145" s="52" t="s">
        <v>37</v>
      </c>
      <c r="L145" s="48"/>
      <c r="M145" s="53"/>
      <c r="N145" s="54"/>
      <c r="O145" s="48"/>
      <c r="P145" s="52" t="s">
        <v>37</v>
      </c>
      <c r="Q145" s="52" t="s">
        <v>37</v>
      </c>
      <c r="R145" s="52" t="s">
        <v>37</v>
      </c>
      <c r="S145" s="55" t="s">
        <v>37</v>
      </c>
      <c r="T145" s="58"/>
      <c r="U145" s="59"/>
      <c r="V145" s="53"/>
      <c r="W145" s="53"/>
      <c r="X145" s="53"/>
      <c r="Y145" s="53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</row>
    <row r="146" customFormat="false" ht="18" hidden="true" customHeight="false" outlineLevel="1" collapsed="false">
      <c r="A146" s="44" t="n">
        <v>9250</v>
      </c>
      <c r="B146" s="45" t="s">
        <v>351</v>
      </c>
      <c r="C146" s="46" t="s">
        <v>37</v>
      </c>
      <c r="D146" s="47"/>
      <c r="E146" s="48"/>
      <c r="F146" s="49"/>
      <c r="G146" s="50"/>
      <c r="H146" s="48"/>
      <c r="I146" s="49"/>
      <c r="J146" s="51" t="s">
        <v>37</v>
      </c>
      <c r="K146" s="52" t="s">
        <v>37</v>
      </c>
      <c r="L146" s="48"/>
      <c r="M146" s="53"/>
      <c r="N146" s="54"/>
      <c r="O146" s="48"/>
      <c r="P146" s="52" t="s">
        <v>37</v>
      </c>
      <c r="Q146" s="52" t="s">
        <v>37</v>
      </c>
      <c r="R146" s="52" t="s">
        <v>37</v>
      </c>
      <c r="S146" s="55" t="s">
        <v>37</v>
      </c>
      <c r="T146" s="58"/>
      <c r="U146" s="59"/>
      <c r="V146" s="53"/>
      <c r="W146" s="53"/>
      <c r="X146" s="53"/>
      <c r="Y146" s="53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</row>
    <row r="147" customFormat="false" ht="18" hidden="true" customHeight="false" outlineLevel="1" collapsed="false">
      <c r="A147" s="44" t="n">
        <v>9300</v>
      </c>
      <c r="B147" s="45" t="s">
        <v>352</v>
      </c>
      <c r="C147" s="46" t="s">
        <v>37</v>
      </c>
      <c r="D147" s="47"/>
      <c r="E147" s="48"/>
      <c r="F147" s="49"/>
      <c r="G147" s="50"/>
      <c r="H147" s="48"/>
      <c r="I147" s="49"/>
      <c r="J147" s="51" t="s">
        <v>37</v>
      </c>
      <c r="K147" s="52" t="s">
        <v>37</v>
      </c>
      <c r="L147" s="48"/>
      <c r="M147" s="53"/>
      <c r="N147" s="54"/>
      <c r="O147" s="48"/>
      <c r="P147" s="52" t="s">
        <v>37</v>
      </c>
      <c r="Q147" s="52" t="s">
        <v>37</v>
      </c>
      <c r="R147" s="52" t="s">
        <v>37</v>
      </c>
      <c r="S147" s="55" t="s">
        <v>37</v>
      </c>
      <c r="T147" s="72"/>
      <c r="U147" s="73"/>
      <c r="V147" s="53"/>
      <c r="W147" s="53"/>
      <c r="X147" s="53"/>
      <c r="Y147" s="53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</row>
    <row r="148" customFormat="false" ht="18" hidden="true" customHeight="false" outlineLevel="1" collapsed="false">
      <c r="A148" s="44" t="n">
        <v>9310</v>
      </c>
      <c r="B148" s="45" t="s">
        <v>353</v>
      </c>
      <c r="C148" s="46" t="s">
        <v>37</v>
      </c>
      <c r="D148" s="47"/>
      <c r="E148" s="48"/>
      <c r="F148" s="49"/>
      <c r="G148" s="50"/>
      <c r="H148" s="48"/>
      <c r="I148" s="49"/>
      <c r="J148" s="51" t="s">
        <v>37</v>
      </c>
      <c r="K148" s="52" t="s">
        <v>37</v>
      </c>
      <c r="L148" s="48"/>
      <c r="M148" s="53"/>
      <c r="N148" s="54"/>
      <c r="O148" s="48"/>
      <c r="P148" s="52" t="s">
        <v>37</v>
      </c>
      <c r="Q148" s="52" t="s">
        <v>37</v>
      </c>
      <c r="R148" s="52" t="s">
        <v>37</v>
      </c>
      <c r="S148" s="55" t="s">
        <v>37</v>
      </c>
      <c r="T148" s="72"/>
      <c r="U148" s="73"/>
      <c r="V148" s="53"/>
      <c r="W148" s="53"/>
      <c r="X148" s="53"/>
      <c r="Y148" s="53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</row>
    <row r="149" customFormat="false" ht="18" hidden="true" customHeight="false" outlineLevel="1" collapsed="false">
      <c r="A149" s="44" t="n">
        <v>9320</v>
      </c>
      <c r="B149" s="45" t="s">
        <v>354</v>
      </c>
      <c r="C149" s="46" t="s">
        <v>37</v>
      </c>
      <c r="D149" s="47"/>
      <c r="E149" s="48"/>
      <c r="F149" s="49"/>
      <c r="G149" s="50"/>
      <c r="H149" s="48"/>
      <c r="I149" s="49"/>
      <c r="J149" s="51" t="s">
        <v>37</v>
      </c>
      <c r="K149" s="52" t="s">
        <v>37</v>
      </c>
      <c r="L149" s="48"/>
      <c r="M149" s="53"/>
      <c r="N149" s="54"/>
      <c r="O149" s="48"/>
      <c r="P149" s="52" t="s">
        <v>37</v>
      </c>
      <c r="Q149" s="52" t="s">
        <v>37</v>
      </c>
      <c r="R149" s="52" t="s">
        <v>37</v>
      </c>
      <c r="S149" s="55" t="s">
        <v>37</v>
      </c>
      <c r="T149" s="72"/>
      <c r="U149" s="73"/>
      <c r="V149" s="53"/>
      <c r="W149" s="53"/>
      <c r="X149" s="53"/>
      <c r="Y149" s="53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</row>
    <row r="150" customFormat="false" ht="18" hidden="true" customHeight="false" outlineLevel="1" collapsed="false">
      <c r="A150" s="44" t="n">
        <v>9330</v>
      </c>
      <c r="B150" s="45" t="s">
        <v>355</v>
      </c>
      <c r="C150" s="46" t="s">
        <v>37</v>
      </c>
      <c r="D150" s="47"/>
      <c r="E150" s="48"/>
      <c r="F150" s="49"/>
      <c r="G150" s="50"/>
      <c r="H150" s="48"/>
      <c r="I150" s="49"/>
      <c r="J150" s="51" t="s">
        <v>37</v>
      </c>
      <c r="K150" s="52" t="s">
        <v>37</v>
      </c>
      <c r="L150" s="48"/>
      <c r="M150" s="53"/>
      <c r="N150" s="54"/>
      <c r="O150" s="48"/>
      <c r="P150" s="52" t="s">
        <v>37</v>
      </c>
      <c r="Q150" s="52" t="s">
        <v>37</v>
      </c>
      <c r="R150" s="52" t="s">
        <v>37</v>
      </c>
      <c r="S150" s="55" t="s">
        <v>37</v>
      </c>
      <c r="T150" s="72"/>
      <c r="U150" s="73"/>
      <c r="V150" s="53"/>
      <c r="W150" s="53"/>
      <c r="X150" s="53"/>
      <c r="Y150" s="53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</row>
    <row r="151" customFormat="false" ht="18" hidden="true" customHeight="false" outlineLevel="1" collapsed="false">
      <c r="A151" s="44" t="n">
        <v>9340</v>
      </c>
      <c r="B151" s="45" t="s">
        <v>356</v>
      </c>
      <c r="C151" s="46" t="s">
        <v>37</v>
      </c>
      <c r="D151" s="47"/>
      <c r="E151" s="48"/>
      <c r="F151" s="49"/>
      <c r="G151" s="50"/>
      <c r="H151" s="48"/>
      <c r="I151" s="49"/>
      <c r="J151" s="51" t="s">
        <v>37</v>
      </c>
      <c r="K151" s="52" t="s">
        <v>37</v>
      </c>
      <c r="L151" s="48"/>
      <c r="M151" s="53"/>
      <c r="N151" s="54"/>
      <c r="O151" s="48"/>
      <c r="P151" s="52" t="s">
        <v>37</v>
      </c>
      <c r="Q151" s="52" t="s">
        <v>37</v>
      </c>
      <c r="R151" s="52" t="s">
        <v>37</v>
      </c>
      <c r="S151" s="55" t="s">
        <v>37</v>
      </c>
      <c r="T151" s="72"/>
      <c r="U151" s="73"/>
      <c r="V151" s="53"/>
      <c r="W151" s="53"/>
      <c r="X151" s="53"/>
      <c r="Y151" s="53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  <c r="FR151" s="0"/>
      <c r="FS151" s="0"/>
      <c r="FT151" s="0"/>
      <c r="FU151" s="0"/>
      <c r="FV151" s="0"/>
      <c r="FW151" s="0"/>
      <c r="FX151" s="0"/>
      <c r="FY151" s="0"/>
      <c r="FZ151" s="0"/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</row>
    <row r="152" customFormat="false" ht="13.5" hidden="false" customHeight="true" outlineLevel="1" collapsed="false">
      <c r="A152" s="60" t="s">
        <v>71</v>
      </c>
      <c r="B152" s="60"/>
      <c r="C152" s="61"/>
      <c r="D152" s="62"/>
      <c r="E152" s="63"/>
      <c r="F152" s="64"/>
      <c r="G152" s="59"/>
      <c r="H152" s="63"/>
      <c r="I152" s="66"/>
      <c r="J152" s="130"/>
      <c r="K152" s="67"/>
      <c r="L152" s="63"/>
      <c r="M152" s="76"/>
      <c r="N152" s="63"/>
      <c r="O152" s="63"/>
      <c r="P152" s="63"/>
      <c r="Q152" s="63"/>
      <c r="R152" s="63"/>
      <c r="S152" s="64"/>
      <c r="T152" s="58"/>
      <c r="U152" s="59"/>
      <c r="V152" s="76"/>
      <c r="W152" s="76"/>
      <c r="X152" s="76"/>
      <c r="Y152" s="76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  <c r="FR152" s="0"/>
      <c r="FS152" s="0"/>
      <c r="FT152" s="0"/>
      <c r="FU152" s="0"/>
      <c r="FV152" s="0"/>
      <c r="FW152" s="0"/>
      <c r="FX152" s="0"/>
      <c r="FY152" s="0"/>
      <c r="FZ152" s="0"/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</row>
    <row r="153" customFormat="false" ht="18" hidden="true" customHeight="false" outlineLevel="1" collapsed="false">
      <c r="A153" s="70"/>
      <c r="B153" s="48"/>
      <c r="C153" s="46" t="s">
        <v>37</v>
      </c>
      <c r="D153" s="47"/>
      <c r="E153" s="48"/>
      <c r="F153" s="49"/>
      <c r="G153" s="131"/>
      <c r="H153" s="131"/>
      <c r="I153" s="49"/>
      <c r="J153" s="51" t="s">
        <v>37</v>
      </c>
      <c r="K153" s="52" t="s">
        <v>37</v>
      </c>
      <c r="L153" s="48"/>
      <c r="M153" s="53"/>
      <c r="N153" s="54"/>
      <c r="O153" s="48"/>
      <c r="P153" s="52" t="s">
        <v>37</v>
      </c>
      <c r="Q153" s="52" t="s">
        <v>37</v>
      </c>
      <c r="R153" s="52" t="s">
        <v>37</v>
      </c>
      <c r="S153" s="55" t="s">
        <v>37</v>
      </c>
      <c r="T153" s="58"/>
      <c r="U153" s="59"/>
      <c r="V153" s="53"/>
      <c r="W153" s="53"/>
      <c r="X153" s="53"/>
      <c r="Y153" s="53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</row>
    <row r="154" customFormat="false" ht="18" hidden="true" customHeight="false" outlineLevel="1" collapsed="false">
      <c r="A154" s="70"/>
      <c r="B154" s="48"/>
      <c r="C154" s="46" t="s">
        <v>37</v>
      </c>
      <c r="D154" s="47"/>
      <c r="E154" s="48"/>
      <c r="F154" s="49"/>
      <c r="G154" s="131"/>
      <c r="H154" s="131"/>
      <c r="I154" s="49"/>
      <c r="J154" s="51" t="s">
        <v>37</v>
      </c>
      <c r="K154" s="52" t="s">
        <v>37</v>
      </c>
      <c r="L154" s="48"/>
      <c r="M154" s="53"/>
      <c r="N154" s="54"/>
      <c r="O154" s="48"/>
      <c r="P154" s="52" t="s">
        <v>37</v>
      </c>
      <c r="Q154" s="52" t="s">
        <v>37</v>
      </c>
      <c r="R154" s="52" t="s">
        <v>37</v>
      </c>
      <c r="S154" s="55" t="s">
        <v>37</v>
      </c>
      <c r="T154" s="58"/>
      <c r="U154" s="59"/>
      <c r="V154" s="53"/>
      <c r="W154" s="53"/>
      <c r="X154" s="53"/>
      <c r="Y154" s="53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</row>
    <row r="155" customFormat="false" ht="18" hidden="true" customHeight="false" outlineLevel="1" collapsed="false">
      <c r="A155" s="70"/>
      <c r="B155" s="48"/>
      <c r="C155" s="46" t="s">
        <v>37</v>
      </c>
      <c r="D155" s="47"/>
      <c r="E155" s="48"/>
      <c r="F155" s="49"/>
      <c r="G155" s="131"/>
      <c r="H155" s="131"/>
      <c r="I155" s="49"/>
      <c r="J155" s="51" t="s">
        <v>37</v>
      </c>
      <c r="K155" s="52" t="s">
        <v>37</v>
      </c>
      <c r="L155" s="48"/>
      <c r="M155" s="53"/>
      <c r="N155" s="54"/>
      <c r="O155" s="48"/>
      <c r="P155" s="52" t="s">
        <v>37</v>
      </c>
      <c r="Q155" s="52" t="s">
        <v>37</v>
      </c>
      <c r="R155" s="52" t="s">
        <v>37</v>
      </c>
      <c r="S155" s="55" t="s">
        <v>37</v>
      </c>
      <c r="T155" s="58"/>
      <c r="U155" s="59"/>
      <c r="V155" s="53"/>
      <c r="W155" s="53"/>
      <c r="X155" s="53"/>
      <c r="Y155" s="53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  <c r="FR155" s="0"/>
      <c r="FS155" s="0"/>
      <c r="FT155" s="0"/>
      <c r="FU155" s="0"/>
      <c r="FV155" s="0"/>
      <c r="FW155" s="0"/>
      <c r="FX155" s="0"/>
      <c r="FY155" s="0"/>
      <c r="FZ155" s="0"/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</row>
    <row r="156" customFormat="false" ht="18.75" hidden="true" customHeight="false" outlineLevel="1" collapsed="false">
      <c r="A156" s="70"/>
      <c r="B156" s="48"/>
      <c r="C156" s="46" t="s">
        <v>37</v>
      </c>
      <c r="D156" s="133"/>
      <c r="E156" s="134"/>
      <c r="F156" s="49"/>
      <c r="G156" s="131"/>
      <c r="H156" s="131"/>
      <c r="I156" s="49"/>
      <c r="J156" s="135" t="s">
        <v>37</v>
      </c>
      <c r="K156" s="136" t="s">
        <v>37</v>
      </c>
      <c r="L156" s="134"/>
      <c r="M156" s="137"/>
      <c r="N156" s="138"/>
      <c r="O156" s="134"/>
      <c r="P156" s="136" t="s">
        <v>37</v>
      </c>
      <c r="Q156" s="136" t="s">
        <v>37</v>
      </c>
      <c r="R156" s="136" t="s">
        <v>37</v>
      </c>
      <c r="S156" s="139" t="s">
        <v>37</v>
      </c>
      <c r="T156" s="140"/>
      <c r="U156" s="141"/>
      <c r="V156" s="137"/>
      <c r="W156" s="137"/>
      <c r="X156" s="137"/>
      <c r="Y156" s="137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  <c r="FR156" s="0"/>
      <c r="FS156" s="0"/>
      <c r="FT156" s="0"/>
      <c r="FU156" s="0"/>
      <c r="FV156" s="0"/>
      <c r="FW156" s="0"/>
      <c r="FX156" s="0"/>
      <c r="FY156" s="0"/>
      <c r="FZ156" s="0"/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</row>
  </sheetData>
  <autoFilter ref="A7:Y156">
    <filterColumn colId="2">
      <filters>
        <filter val="?"/>
      </filters>
    </filterColumn>
  </autoFilter>
  <mergeCells count="15">
    <mergeCell ref="A1:F1"/>
    <mergeCell ref="AG1:BC1"/>
    <mergeCell ref="A6:B6"/>
    <mergeCell ref="D6:F6"/>
    <mergeCell ref="G6:I6"/>
    <mergeCell ref="J6:S6"/>
    <mergeCell ref="V6:Y6"/>
    <mergeCell ref="A16:B16"/>
    <mergeCell ref="A27:B27"/>
    <mergeCell ref="A36:B36"/>
    <mergeCell ref="A69:B69"/>
    <mergeCell ref="A86:B86"/>
    <mergeCell ref="A107:B107"/>
    <mergeCell ref="A127:B127"/>
    <mergeCell ref="A152:B152"/>
  </mergeCells>
  <dataValidations count="5">
    <dataValidation allowBlank="true" errorStyle="stop" operator="between" showDropDown="false" showErrorMessage="true" showInputMessage="false" sqref="L9:L15 L17:L21 L23:L26 L28:L29 L31:L35 L37:L40 L42:L68 L70:L73 L75:L85 L87:L95 L97:L106 L108:L122 L124:L126 L128:L131 L133:L151 L153:L156" type="list">
      <formula1>"Heure,Jour"</formula1>
      <formula2>0</formula2>
    </dataValidation>
    <dataValidation allowBlank="true" errorStyle="stop" operator="between" showDropDown="false" showErrorMessage="true" showInputMessage="false" sqref="N9:N15 N17:N21 N23:N26 N28:N29 N31:N35 N37:N40 N42:N68 N70:N73 N75:N85 N87:N95 N97:N106 N108:N122 N124:N126 N128:N131 N133:N151 N153:N156" type="list">
      <formula1>TH</formula1>
      <formula2>0</formula2>
    </dataValidation>
    <dataValidation allowBlank="true" errorStyle="stop" operator="between" showDropDown="false" showErrorMessage="true" showInputMessage="false" sqref="O9:O15 O17:O21 O23:O26 O28:O29 O31:O35 O37:O40 O42:O68 O70:O73 O75:O85 O87:O95 O97:O106 O108:O122 O124:O126 O128:O131 O133:O151 O153:O156" type="list">
      <formula1>TJ</formula1>
      <formula2>0</formula2>
    </dataValidation>
    <dataValidation allowBlank="true" errorStyle="stop" operator="between" showDropDown="false" showErrorMessage="true" showInputMessage="false" sqref="F9:F15 I9:I15 F17:F21 I17:I21 F23:F26 I23:I26 F28:F29 I28:I29 F31:F35 I31:I35 F37:F40 I37:I40 F42:F68 I42:I68 F70:F73 I70:I73 F75:F85 I75:I85 F87:F95 I87:I95 F97:F106 I97:I106 F108:F122 I108:I122 F124:F126 I124:I126 F128:F131 I128:I131 F133:F151 I133:I151 F153:F156 I153:I156" type="list">
      <formula1>"Jours calendrier,Jours d'absence,Heures d'absence,Jours de paie,Heures de paie"</formula1>
      <formula2>0</formula2>
    </dataValidation>
    <dataValidation allowBlank="true" errorStyle="stop" operator="between" showDropDown="false" showErrorMessage="true" showInputMessage="false" sqref="C9:C15 J9:K15 P9:S15 C17:C21 J17:K21 P17:S21 C23:C26 J23:K26 P23:S26 C28:C29 J28:K29 P28:S29 C31:C35 J31:K35 P31:S35 C37:C40 J37:K40 P37:S40 C42:C68 J42:K68 P42:S68 C70:C73 J70:K73 P70:S73 C75:C85 J75:K85 P75:S85 C87:C95 J87:K95 P87:S95 C97:C106 J97:K106 P97:S106 C108:C122 J108:K122 P108:S122 C124:C126 J124:K126 P124:S126 C128:C131 J128:K131 P128:S131 C133:C151 J133:K151 P133:S151 C153:C156 J153:K156 P153:S156" type="list">
      <formula1>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40625" defaultRowHeight="12.75" zeroHeight="false" outlineLevelRow="0" outlineLevelCol="0"/>
  <cols>
    <col collapsed="false" customWidth="true" hidden="false" outlineLevel="0" max="1" min="1" style="142" width="10.84"/>
    <col collapsed="false" customWidth="true" hidden="false" outlineLevel="0" max="2" min="2" style="142" width="15.4"/>
    <col collapsed="false" customWidth="false" hidden="false" outlineLevel="0" max="257" min="3" style="142" width="11.4"/>
  </cols>
  <sheetData>
    <row r="1" customFormat="false" ht="12.75" hidden="false" customHeight="false" outlineLevel="0" collapsed="false">
      <c r="A1" s="143" t="s">
        <v>357</v>
      </c>
      <c r="B1" s="143"/>
    </row>
    <row r="3" customFormat="false" ht="12.75" hidden="false" customHeight="false" outlineLevel="0" collapsed="false">
      <c r="A3" s="142" t="s">
        <v>358</v>
      </c>
      <c r="B3" s="142" t="s">
        <v>359</v>
      </c>
    </row>
    <row r="4" customFormat="false" ht="12.75" hidden="false" customHeight="false" outlineLevel="0" collapsed="false">
      <c r="B4" s="142" t="s">
        <v>360</v>
      </c>
    </row>
    <row r="6" customFormat="false" ht="12.75" hidden="false" customHeight="false" outlineLevel="0" collapsed="false">
      <c r="A6" s="142" t="s">
        <v>361</v>
      </c>
      <c r="B6" s="142" t="s">
        <v>362</v>
      </c>
    </row>
    <row r="7" customFormat="false" ht="12.75" hidden="false" customHeight="false" outlineLevel="0" collapsed="false">
      <c r="B7" s="142" t="s">
        <v>363</v>
      </c>
    </row>
    <row r="8" customFormat="false" ht="12.75" hidden="false" customHeight="false" outlineLevel="0" collapsed="false">
      <c r="B8" s="142" t="s">
        <v>364</v>
      </c>
    </row>
    <row r="10" customFormat="false" ht="12.75" hidden="false" customHeight="false" outlineLevel="0" collapsed="false">
      <c r="A10" s="142" t="s">
        <v>365</v>
      </c>
      <c r="B10" s="142" t="s">
        <v>366</v>
      </c>
    </row>
    <row r="11" customFormat="false" ht="12.75" hidden="false" customHeight="false" outlineLevel="0" collapsed="false">
      <c r="B11" s="142" t="s">
        <v>367</v>
      </c>
    </row>
    <row r="13" customFormat="false" ht="12.75" hidden="false" customHeight="false" outlineLevel="0" collapsed="false">
      <c r="A13" s="142" t="s">
        <v>368</v>
      </c>
      <c r="B13" s="142" t="s">
        <v>369</v>
      </c>
    </row>
    <row r="14" customFormat="false" ht="12.75" hidden="false" customHeight="false" outlineLevel="0" collapsed="false">
      <c r="B14" s="142" t="s">
        <v>370</v>
      </c>
    </row>
    <row r="15" customFormat="false" ht="12.75" hidden="false" customHeight="false" outlineLevel="0" collapsed="false">
      <c r="B15" s="142" t="s">
        <v>371</v>
      </c>
    </row>
    <row r="17" customFormat="false" ht="12.75" hidden="false" customHeight="false" outlineLevel="0" collapsed="false">
      <c r="A17" s="142" t="s">
        <v>372</v>
      </c>
      <c r="B17" s="142" t="s">
        <v>373</v>
      </c>
    </row>
    <row r="18" customFormat="false" ht="12.75" hidden="false" customHeight="false" outlineLevel="0" collapsed="false">
      <c r="B18" s="142" t="s">
        <v>374</v>
      </c>
    </row>
    <row r="19" customFormat="false" ht="12.75" hidden="false" customHeight="false" outlineLevel="0" collapsed="false">
      <c r="A19" s="144"/>
      <c r="B19" s="144"/>
    </row>
    <row r="20" customFormat="false" ht="12.75" hidden="false" customHeight="false" outlineLevel="0" collapsed="false">
      <c r="A20" s="144"/>
      <c r="B20" s="144"/>
    </row>
    <row r="21" customFormat="false" ht="12.75" hidden="false" customHeight="false" outlineLevel="0" collapsed="false">
      <c r="A21" s="142" t="s">
        <v>375</v>
      </c>
      <c r="B21" s="142" t="s">
        <v>376</v>
      </c>
    </row>
    <row r="22" customFormat="false" ht="12.75" hidden="false" customHeight="false" outlineLevel="0" collapsed="false">
      <c r="B22" s="142" t="s">
        <v>377</v>
      </c>
    </row>
    <row r="23" customFormat="false" ht="12.75" hidden="false" customHeight="false" outlineLevel="0" collapsed="false">
      <c r="B23" s="142" t="s">
        <v>378</v>
      </c>
    </row>
    <row r="24" customFormat="false" ht="12.75" hidden="false" customHeight="false" outlineLevel="0" collapsed="false">
      <c r="B24" s="142" t="s">
        <v>379</v>
      </c>
    </row>
    <row r="25" customFormat="false" ht="12.75" hidden="false" customHeight="false" outlineLevel="0" collapsed="false">
      <c r="B25" s="142" t="s">
        <v>380</v>
      </c>
    </row>
    <row r="26" customFormat="false" ht="12.75" hidden="false" customHeight="false" outlineLevel="0" collapsed="false">
      <c r="B26" s="142" t="s">
        <v>381</v>
      </c>
    </row>
    <row r="27" customFormat="false" ht="12.75" hidden="false" customHeight="false" outlineLevel="0" collapsed="false">
      <c r="B27" s="142" t="s">
        <v>382</v>
      </c>
    </row>
    <row r="28" customFormat="false" ht="12.75" hidden="false" customHeight="false" outlineLevel="0" collapsed="false">
      <c r="B28" s="142" t="s">
        <v>383</v>
      </c>
    </row>
    <row r="29" customFormat="false" ht="12.75" hidden="false" customHeight="false" outlineLevel="0" collapsed="false">
      <c r="B29" s="142" t="s">
        <v>384</v>
      </c>
    </row>
    <row r="30" customFormat="false" ht="12.75" hidden="false" customHeight="false" outlineLevel="0" collapsed="false">
      <c r="B30" s="142" t="s">
        <v>385</v>
      </c>
    </row>
    <row r="31" customFormat="false" ht="12.75" hidden="false" customHeight="false" outlineLevel="0" collapsed="false">
      <c r="B31" s="142" t="s">
        <v>386</v>
      </c>
    </row>
    <row r="32" customFormat="false" ht="12.75" hidden="false" customHeight="false" outlineLevel="0" collapsed="false">
      <c r="B32" s="142" t="s">
        <v>387</v>
      </c>
    </row>
    <row r="33" customFormat="false" ht="12.75" hidden="false" customHeight="false" outlineLevel="0" collapsed="false">
      <c r="B33" s="142" t="s">
        <v>388</v>
      </c>
    </row>
    <row r="34" customFormat="false" ht="12.75" hidden="false" customHeight="false" outlineLevel="0" collapsed="false">
      <c r="B34" s="142" t="s">
        <v>389</v>
      </c>
    </row>
    <row r="35" customFormat="false" ht="12.75" hidden="false" customHeight="false" outlineLevel="0" collapsed="false">
      <c r="B35" s="142" t="s">
        <v>390</v>
      </c>
    </row>
    <row r="36" customFormat="false" ht="12.75" hidden="false" customHeight="false" outlineLevel="0" collapsed="false">
      <c r="B36" s="142" t="s">
        <v>391</v>
      </c>
    </row>
    <row r="37" customFormat="false" ht="12.75" hidden="false" customHeight="false" outlineLevel="0" collapsed="false">
      <c r="B37" s="142" t="s">
        <v>392</v>
      </c>
    </row>
    <row r="38" customFormat="false" ht="12.75" hidden="false" customHeight="false" outlineLevel="0" collapsed="false">
      <c r="B38" s="142" t="s">
        <v>393</v>
      </c>
    </row>
    <row r="39" customFormat="false" ht="12.75" hidden="false" customHeight="false" outlineLevel="0" collapsed="false">
      <c r="B39" s="142" t="s">
        <v>394</v>
      </c>
    </row>
    <row r="40" customFormat="false" ht="12.75" hidden="false" customHeight="false" outlineLevel="0" collapsed="false">
      <c r="B40" s="142" t="s">
        <v>395</v>
      </c>
    </row>
    <row r="41" customFormat="false" ht="12.75" hidden="false" customHeight="false" outlineLevel="0" collapsed="false">
      <c r="B41" s="142" t="s">
        <v>396</v>
      </c>
    </row>
    <row r="42" customFormat="false" ht="12.75" hidden="false" customHeight="false" outlineLevel="0" collapsed="false">
      <c r="B42" s="142" t="s">
        <v>397</v>
      </c>
    </row>
    <row r="53" customFormat="false" ht="12.75" hidden="false" customHeight="false" outlineLevel="0" collapsed="false">
      <c r="A53" s="142" t="s">
        <v>398</v>
      </c>
      <c r="B53" s="142" t="s">
        <v>399</v>
      </c>
    </row>
    <row r="54" customFormat="false" ht="12.75" hidden="false" customHeight="false" outlineLevel="0" collapsed="false">
      <c r="A54" s="142" t="s">
        <v>400</v>
      </c>
      <c r="B54" s="142" t="s">
        <v>401</v>
      </c>
    </row>
    <row r="55" customFormat="false" ht="12.75" hidden="false" customHeight="false" outlineLevel="0" collapsed="false">
      <c r="A55" s="142" t="s">
        <v>402</v>
      </c>
      <c r="B55" s="142" t="s">
        <v>403</v>
      </c>
    </row>
    <row r="56" customFormat="false" ht="12.75" hidden="false" customHeight="false" outlineLevel="0" collapsed="false">
      <c r="A56" s="142" t="s">
        <v>404</v>
      </c>
      <c r="B56" s="142" t="s">
        <v>404</v>
      </c>
    </row>
    <row r="57" customFormat="false" ht="12.75" hidden="false" customHeight="false" outlineLevel="0" collapsed="false">
      <c r="A57" s="142" t="s">
        <v>405</v>
      </c>
      <c r="B57" s="142" t="s">
        <v>406</v>
      </c>
    </row>
    <row r="58" customFormat="false" ht="12.75" hidden="false" customHeight="false" outlineLevel="0" collapsed="false">
      <c r="A58" s="142" t="s">
        <v>407</v>
      </c>
      <c r="B58" s="142" t="s">
        <v>407</v>
      </c>
    </row>
    <row r="70" customFormat="false" ht="12.75" hidden="false" customHeight="false" outlineLevel="0" collapsed="false">
      <c r="A70" s="142" t="s">
        <v>408</v>
      </c>
      <c r="B70" s="142" t="s">
        <v>399</v>
      </c>
    </row>
    <row r="71" customFormat="false" ht="12.75" hidden="false" customHeight="false" outlineLevel="0" collapsed="false">
      <c r="A71" s="142" t="s">
        <v>409</v>
      </c>
      <c r="B71" s="142" t="s">
        <v>401</v>
      </c>
    </row>
    <row r="72" customFormat="false" ht="12.75" hidden="false" customHeight="false" outlineLevel="0" collapsed="false">
      <c r="A72" s="142" t="s">
        <v>410</v>
      </c>
      <c r="B72" s="142" t="s">
        <v>411</v>
      </c>
    </row>
    <row r="73" customFormat="false" ht="12.75" hidden="false" customHeight="false" outlineLevel="0" collapsed="false">
      <c r="A73" s="142" t="s">
        <v>412</v>
      </c>
      <c r="B73" s="142" t="s">
        <v>403</v>
      </c>
    </row>
    <row r="74" customFormat="false" ht="12.75" hidden="false" customHeight="false" outlineLevel="0" collapsed="false">
      <c r="A74" s="142" t="s">
        <v>404</v>
      </c>
      <c r="B74" s="142" t="s">
        <v>404</v>
      </c>
    </row>
    <row r="75" customFormat="false" ht="12.75" hidden="false" customHeight="false" outlineLevel="0" collapsed="false">
      <c r="A75" s="142" t="s">
        <v>405</v>
      </c>
      <c r="B75" s="142" t="s">
        <v>406</v>
      </c>
    </row>
    <row r="76" customFormat="false" ht="12.75" hidden="false" customHeight="false" outlineLevel="0" collapsed="false">
      <c r="A76" s="142" t="s">
        <v>407</v>
      </c>
      <c r="B76" s="142" t="s">
        <v>407</v>
      </c>
    </row>
    <row r="80" customFormat="false" ht="12.75" hidden="false" customHeight="false" outlineLevel="0" collapsed="false">
      <c r="A80" s="142" t="s">
        <v>413</v>
      </c>
      <c r="B80" s="142" t="s">
        <v>414</v>
      </c>
    </row>
    <row r="81" customFormat="false" ht="12.75" hidden="false" customHeight="false" outlineLevel="0" collapsed="false">
      <c r="A81" s="142" t="s">
        <v>415</v>
      </c>
      <c r="B81" s="142" t="s">
        <v>416</v>
      </c>
    </row>
    <row r="82" customFormat="false" ht="12.75" hidden="false" customHeight="false" outlineLevel="0" collapsed="false">
      <c r="A82" s="142" t="s">
        <v>404</v>
      </c>
      <c r="B82" s="142" t="s">
        <v>404</v>
      </c>
    </row>
    <row r="83" customFormat="false" ht="12.75" hidden="false" customHeight="false" outlineLevel="0" collapsed="false">
      <c r="A83" s="142" t="s">
        <v>407</v>
      </c>
      <c r="B83" s="142" t="s">
        <v>407</v>
      </c>
    </row>
    <row r="84" customFormat="false" ht="12.75" hidden="false" customHeight="false" outlineLevel="0" collapsed="false">
      <c r="A84" s="142" t="s">
        <v>417</v>
      </c>
      <c r="B84" s="142" t="s">
        <v>417</v>
      </c>
    </row>
    <row r="90" customFormat="false" ht="12.75" hidden="false" customHeight="false" outlineLevel="0" collapsed="false">
      <c r="A90" s="142" t="s">
        <v>418</v>
      </c>
      <c r="B90" s="142" t="s">
        <v>419</v>
      </c>
    </row>
    <row r="91" customFormat="false" ht="12.75" hidden="false" customHeight="false" outlineLevel="0" collapsed="false">
      <c r="A91" s="142" t="s">
        <v>420</v>
      </c>
      <c r="B91" s="142" t="s">
        <v>421</v>
      </c>
    </row>
    <row r="92" customFormat="false" ht="12.75" hidden="false" customHeight="false" outlineLevel="0" collapsed="false">
      <c r="A92" s="142" t="s">
        <v>404</v>
      </c>
      <c r="B92" s="142" t="s">
        <v>404</v>
      </c>
    </row>
    <row r="93" customFormat="false" ht="12.75" hidden="false" customHeight="false" outlineLevel="0" collapsed="false">
      <c r="A93" s="142" t="s">
        <v>407</v>
      </c>
      <c r="B93" s="142" t="s">
        <v>407</v>
      </c>
    </row>
    <row r="94" customFormat="false" ht="12.75" hidden="false" customHeight="false" outlineLevel="0" collapsed="false">
      <c r="A94" s="142" t="s">
        <v>417</v>
      </c>
      <c r="B94" s="142" t="s">
        <v>417</v>
      </c>
    </row>
    <row r="100" customFormat="false" ht="12.75" hidden="false" customHeight="false" outlineLevel="0" collapsed="false">
      <c r="A100" s="142" t="s">
        <v>422</v>
      </c>
      <c r="B100" s="142" t="s">
        <v>423</v>
      </c>
    </row>
    <row r="101" customFormat="false" ht="12.75" hidden="false" customHeight="false" outlineLevel="0" collapsed="false">
      <c r="A101" s="142" t="s">
        <v>404</v>
      </c>
      <c r="B101" s="142" t="s">
        <v>404</v>
      </c>
    </row>
    <row r="102" customFormat="false" ht="12.75" hidden="false" customHeight="false" outlineLevel="0" collapsed="false">
      <c r="A102" s="142" t="s">
        <v>407</v>
      </c>
      <c r="B102" s="142" t="s">
        <v>407</v>
      </c>
    </row>
    <row r="103" customFormat="false" ht="12.75" hidden="false" customHeight="false" outlineLevel="0" collapsed="false">
      <c r="A103" s="142" t="s">
        <v>417</v>
      </c>
      <c r="B103" s="142" t="s">
        <v>417</v>
      </c>
    </row>
    <row r="104" customFormat="false" ht="12.75" hidden="false" customHeight="false" outlineLevel="0" collapsed="false">
      <c r="A104" s="142" t="s">
        <v>417</v>
      </c>
      <c r="B104" s="142" t="s">
        <v>417</v>
      </c>
    </row>
    <row r="110" customFormat="false" ht="12.75" hidden="false" customHeight="false" outlineLevel="0" collapsed="false">
      <c r="A110" s="142" t="s">
        <v>404</v>
      </c>
      <c r="B110" s="142" t="s">
        <v>404</v>
      </c>
    </row>
    <row r="111" customFormat="false" ht="12.75" hidden="false" customHeight="false" outlineLevel="0" collapsed="false">
      <c r="A111" s="142" t="s">
        <v>424</v>
      </c>
      <c r="B111" s="142" t="s">
        <v>423</v>
      </c>
    </row>
    <row r="112" customFormat="false" ht="12.75" hidden="false" customHeight="false" outlineLevel="0" collapsed="false">
      <c r="A112" s="142" t="s">
        <v>407</v>
      </c>
      <c r="B112" s="142" t="s">
        <v>407</v>
      </c>
    </row>
    <row r="113" customFormat="false" ht="12.75" hidden="false" customHeight="false" outlineLevel="0" collapsed="false">
      <c r="A113" s="142" t="s">
        <v>417</v>
      </c>
      <c r="B113" s="142" t="s">
        <v>417</v>
      </c>
    </row>
    <row r="114" customFormat="false" ht="12.75" hidden="false" customHeight="false" outlineLevel="0" collapsed="false">
      <c r="A114" s="142" t="s">
        <v>417</v>
      </c>
      <c r="B114" s="142" t="s">
        <v>417</v>
      </c>
    </row>
    <row r="120" customFormat="false" ht="12.75" hidden="false" customHeight="false" outlineLevel="0" collapsed="false">
      <c r="A120" s="142" t="s">
        <v>425</v>
      </c>
      <c r="B120" s="142" t="s">
        <v>423</v>
      </c>
    </row>
    <row r="121" customFormat="false" ht="12.75" hidden="false" customHeight="false" outlineLevel="0" collapsed="false">
      <c r="A121" s="142" t="s">
        <v>404</v>
      </c>
      <c r="B121" s="142" t="s">
        <v>404</v>
      </c>
    </row>
    <row r="122" customFormat="false" ht="12.75" hidden="false" customHeight="false" outlineLevel="0" collapsed="false">
      <c r="A122" s="142" t="s">
        <v>407</v>
      </c>
      <c r="B122" s="142" t="s">
        <v>407</v>
      </c>
    </row>
    <row r="123" customFormat="false" ht="12.75" hidden="false" customHeight="false" outlineLevel="0" collapsed="false">
      <c r="A123" s="142" t="s">
        <v>426</v>
      </c>
      <c r="B123" s="142" t="s">
        <v>426</v>
      </c>
    </row>
    <row r="124" customFormat="false" ht="12.75" hidden="false" customHeight="false" outlineLevel="0" collapsed="false">
      <c r="A124" s="142" t="s">
        <v>417</v>
      </c>
      <c r="B124" s="142" t="s">
        <v>417</v>
      </c>
    </row>
  </sheetData>
  <dataValidations count="1">
    <dataValidation allowBlank="true" errorStyle="stop" operator="between" showDropDown="false" showErrorMessage="true" showInputMessage="false" sqref="C3" type="list">
      <formula1>$B$3:$B$4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B11" activeCellId="0" sqref="B11"/>
    </sheetView>
  </sheetViews>
  <sheetFormatPr defaultColWidth="11.40625" defaultRowHeight="12.75" zeroHeight="false" outlineLevelRow="0" outlineLevelCol="1"/>
  <cols>
    <col collapsed="false" customWidth="true" hidden="false" outlineLevel="0" max="1" min="1" style="0" width="5.55"/>
    <col collapsed="false" customWidth="true" hidden="false" outlineLevel="0" max="2" min="2" style="0" width="37.98"/>
    <col collapsed="false" customWidth="true" hidden="false" outlineLevel="0" max="3" min="3" style="0" width="8.69"/>
    <col collapsed="false" customWidth="true" hidden="false" outlineLevel="0" max="4" min="4" style="0" width="75.55"/>
    <col collapsed="false" customWidth="true" hidden="false" outlineLevel="0" max="5" min="5" style="0" width="4.13"/>
    <col collapsed="false" customWidth="true" hidden="false" outlineLevel="0" max="6" min="6" style="0" width="18.27"/>
    <col collapsed="false" customWidth="true" hidden="false" outlineLevel="0" max="7" min="7" style="0" width="25.84"/>
    <col collapsed="false" customWidth="true" hidden="true" outlineLevel="1" max="8" min="8" style="0" width="17.13"/>
    <col collapsed="false" customWidth="true" hidden="true" outlineLevel="1" max="9" min="9" style="0" width="11.7"/>
    <col collapsed="false" customWidth="true" hidden="true" outlineLevel="1" max="15" min="10" style="0" width="9.13"/>
    <col collapsed="false" customWidth="true" hidden="false" outlineLevel="0" max="16" min="16" style="0" width="9.13"/>
  </cols>
  <sheetData>
    <row r="1" customFormat="false" ht="45.75" hidden="false" customHeight="false" outlineLevel="0" collapsed="false">
      <c r="A1" s="145" t="s">
        <v>427</v>
      </c>
      <c r="B1" s="145" t="s">
        <v>428</v>
      </c>
      <c r="C1" s="146" t="s">
        <v>429</v>
      </c>
      <c r="D1" s="145" t="s">
        <v>430</v>
      </c>
      <c r="F1" s="147"/>
      <c r="G1" s="148" t="s">
        <v>431</v>
      </c>
      <c r="H1" s="149" t="s">
        <v>432</v>
      </c>
      <c r="I1" s="150" t="s">
        <v>433</v>
      </c>
      <c r="J1" s="150" t="s">
        <v>434</v>
      </c>
      <c r="K1" s="150" t="s">
        <v>435</v>
      </c>
      <c r="L1" s="150" t="s">
        <v>436</v>
      </c>
      <c r="M1" s="150" t="s">
        <v>437</v>
      </c>
      <c r="N1" s="150" t="s">
        <v>438</v>
      </c>
      <c r="O1" s="150" t="s">
        <v>439</v>
      </c>
    </row>
    <row r="2" customFormat="false" ht="15" hidden="false" customHeight="true" outlineLevel="0" collapsed="false">
      <c r="A2" s="151" t="s">
        <v>243</v>
      </c>
      <c r="B2" s="152" t="s">
        <v>440</v>
      </c>
      <c r="C2" s="153" t="s">
        <v>441</v>
      </c>
      <c r="D2" s="154" t="s">
        <v>442</v>
      </c>
      <c r="E2" s="155" t="s">
        <v>443</v>
      </c>
      <c r="F2" s="156" t="s">
        <v>444</v>
      </c>
      <c r="G2" s="157"/>
      <c r="H2" s="158" t="s">
        <v>445</v>
      </c>
      <c r="I2" s="147" t="s">
        <v>42</v>
      </c>
      <c r="J2" s="147" t="s">
        <v>42</v>
      </c>
      <c r="K2" s="147" t="s">
        <v>42</v>
      </c>
      <c r="L2" s="147" t="s">
        <v>446</v>
      </c>
      <c r="M2" s="147" t="s">
        <v>447</v>
      </c>
      <c r="N2" s="147" t="s">
        <v>48</v>
      </c>
      <c r="O2" s="147" t="s">
        <v>48</v>
      </c>
    </row>
    <row r="3" customFormat="false" ht="15" hidden="false" customHeight="true" outlineLevel="0" collapsed="false">
      <c r="A3" s="159" t="s">
        <v>108</v>
      </c>
      <c r="B3" s="160" t="s">
        <v>448</v>
      </c>
      <c r="C3" s="161" t="s">
        <v>449</v>
      </c>
      <c r="D3" s="162" t="s">
        <v>450</v>
      </c>
      <c r="F3" s="156"/>
      <c r="G3" s="147"/>
      <c r="H3" s="158" t="s">
        <v>445</v>
      </c>
      <c r="I3" s="147" t="s">
        <v>42</v>
      </c>
      <c r="J3" s="147" t="s">
        <v>42</v>
      </c>
      <c r="K3" s="147" t="s">
        <v>42</v>
      </c>
      <c r="L3" s="147" t="s">
        <v>451</v>
      </c>
      <c r="M3" s="147" t="s">
        <v>452</v>
      </c>
      <c r="N3" s="147" t="s">
        <v>41</v>
      </c>
      <c r="O3" s="147" t="s">
        <v>41</v>
      </c>
    </row>
    <row r="4" customFormat="false" ht="15.75" hidden="false" customHeight="true" outlineLevel="0" collapsed="false">
      <c r="A4" s="163" t="s">
        <v>453</v>
      </c>
      <c r="B4" s="164" t="s">
        <v>454</v>
      </c>
      <c r="C4" s="165" t="s">
        <v>455</v>
      </c>
      <c r="D4" s="166" t="s">
        <v>456</v>
      </c>
      <c r="F4" s="156"/>
      <c r="G4" s="147"/>
      <c r="H4" s="158" t="s">
        <v>445</v>
      </c>
      <c r="I4" s="147" t="s">
        <v>42</v>
      </c>
      <c r="J4" s="147" t="s">
        <v>42</v>
      </c>
      <c r="K4" s="147" t="s">
        <v>42</v>
      </c>
      <c r="L4" s="147" t="s">
        <v>457</v>
      </c>
      <c r="M4" s="147" t="s">
        <v>458</v>
      </c>
      <c r="N4" s="147" t="s">
        <v>459</v>
      </c>
      <c r="O4" s="147" t="s">
        <v>459</v>
      </c>
    </row>
    <row r="5" customFormat="false" ht="15" hidden="false" customHeight="true" outlineLevel="0" collapsed="false">
      <c r="A5" s="167" t="s">
        <v>460</v>
      </c>
      <c r="B5" s="168" t="s">
        <v>461</v>
      </c>
      <c r="C5" s="169" t="s">
        <v>462</v>
      </c>
      <c r="D5" s="170" t="s">
        <v>463</v>
      </c>
      <c r="F5" s="156"/>
      <c r="G5" s="147"/>
      <c r="H5" s="158" t="s">
        <v>445</v>
      </c>
      <c r="I5" s="147" t="s">
        <v>464</v>
      </c>
      <c r="J5" s="147" t="s">
        <v>447</v>
      </c>
      <c r="K5" s="147" t="s">
        <v>447</v>
      </c>
      <c r="L5" s="147" t="s">
        <v>42</v>
      </c>
      <c r="M5" s="147" t="s">
        <v>42</v>
      </c>
      <c r="N5" s="147" t="s">
        <v>447</v>
      </c>
      <c r="O5" s="147" t="s">
        <v>447</v>
      </c>
    </row>
    <row r="6" customFormat="false" ht="15" hidden="false" customHeight="true" outlineLevel="0" collapsed="false">
      <c r="A6" s="171" t="s">
        <v>465</v>
      </c>
      <c r="B6" s="160" t="s">
        <v>466</v>
      </c>
      <c r="C6" s="172" t="s">
        <v>467</v>
      </c>
      <c r="D6" s="173" t="s">
        <v>468</v>
      </c>
      <c r="F6" s="156"/>
      <c r="G6" s="147"/>
      <c r="H6" s="158" t="s">
        <v>445</v>
      </c>
      <c r="I6" s="147" t="s">
        <v>469</v>
      </c>
      <c r="J6" s="147" t="s">
        <v>470</v>
      </c>
      <c r="K6" s="147" t="s">
        <v>470</v>
      </c>
      <c r="L6" s="147" t="s">
        <v>42</v>
      </c>
      <c r="M6" s="147" t="s">
        <v>42</v>
      </c>
      <c r="N6" s="147" t="s">
        <v>470</v>
      </c>
      <c r="O6" s="147" t="s">
        <v>470</v>
      </c>
    </row>
    <row r="7" customFormat="false" ht="15" hidden="false" customHeight="true" outlineLevel="0" collapsed="false">
      <c r="A7" s="171" t="s">
        <v>471</v>
      </c>
      <c r="B7" s="160" t="s">
        <v>472</v>
      </c>
      <c r="C7" s="174" t="s">
        <v>473</v>
      </c>
      <c r="D7" s="173" t="s">
        <v>474</v>
      </c>
      <c r="F7" s="156"/>
      <c r="G7" s="147"/>
      <c r="H7" s="158" t="s">
        <v>445</v>
      </c>
      <c r="I7" s="147" t="s">
        <v>475</v>
      </c>
      <c r="J7" s="147" t="s">
        <v>470</v>
      </c>
      <c r="K7" s="147" t="s">
        <v>470</v>
      </c>
      <c r="L7" s="147" t="s">
        <v>42</v>
      </c>
      <c r="M7" s="147" t="s">
        <v>42</v>
      </c>
      <c r="N7" s="147" t="s">
        <v>470</v>
      </c>
      <c r="O7" s="147" t="s">
        <v>470</v>
      </c>
    </row>
    <row r="8" customFormat="false" ht="15" hidden="false" customHeight="true" outlineLevel="0" collapsed="false">
      <c r="A8" s="171" t="s">
        <v>476</v>
      </c>
      <c r="B8" s="160" t="s">
        <v>477</v>
      </c>
      <c r="C8" s="172" t="s">
        <v>478</v>
      </c>
      <c r="D8" s="173" t="s">
        <v>479</v>
      </c>
      <c r="F8" s="156"/>
      <c r="G8" s="147"/>
      <c r="H8" s="158" t="s">
        <v>445</v>
      </c>
      <c r="I8" s="147" t="s">
        <v>480</v>
      </c>
      <c r="J8" s="147" t="s">
        <v>452</v>
      </c>
      <c r="K8" s="147" t="s">
        <v>452</v>
      </c>
      <c r="L8" s="147" t="s">
        <v>42</v>
      </c>
      <c r="M8" s="147" t="s">
        <v>42</v>
      </c>
      <c r="N8" s="147" t="s">
        <v>452</v>
      </c>
      <c r="O8" s="147" t="s">
        <v>452</v>
      </c>
    </row>
    <row r="9" customFormat="false" ht="15" hidden="false" customHeight="true" outlineLevel="0" collapsed="false">
      <c r="A9" s="171" t="s">
        <v>481</v>
      </c>
      <c r="B9" s="160" t="s">
        <v>482</v>
      </c>
      <c r="C9" s="172" t="s">
        <v>483</v>
      </c>
      <c r="D9" s="173" t="s">
        <v>484</v>
      </c>
      <c r="F9" s="156"/>
      <c r="G9" s="147"/>
      <c r="H9" s="158" t="s">
        <v>445</v>
      </c>
      <c r="I9" s="147" t="s">
        <v>48</v>
      </c>
      <c r="J9" s="147" t="s">
        <v>470</v>
      </c>
      <c r="K9" s="147" t="s">
        <v>470</v>
      </c>
      <c r="L9" s="147" t="s">
        <v>42</v>
      </c>
      <c r="M9" s="147" t="s">
        <v>451</v>
      </c>
      <c r="N9" s="147" t="s">
        <v>470</v>
      </c>
      <c r="O9" s="147" t="s">
        <v>470</v>
      </c>
    </row>
    <row r="10" customFormat="false" ht="13.5" hidden="false" customHeight="false" outlineLevel="0" collapsed="false">
      <c r="A10" s="175" t="s">
        <v>58</v>
      </c>
      <c r="B10" s="164" t="s">
        <v>485</v>
      </c>
      <c r="C10" s="176" t="s">
        <v>486</v>
      </c>
      <c r="D10" s="177" t="s">
        <v>487</v>
      </c>
      <c r="E10" s="155"/>
      <c r="I10" s="147" t="s">
        <v>41</v>
      </c>
      <c r="J10" s="147" t="s">
        <v>458</v>
      </c>
      <c r="K10" s="147" t="s">
        <v>458</v>
      </c>
      <c r="L10" s="147" t="s">
        <v>42</v>
      </c>
      <c r="M10" s="147" t="s">
        <v>42</v>
      </c>
      <c r="N10" s="147" t="s">
        <v>458</v>
      </c>
      <c r="O10" s="147" t="s">
        <v>458</v>
      </c>
    </row>
    <row r="11" customFormat="false" ht="12.75" hidden="false" customHeight="false" outlineLevel="0" collapsed="false">
      <c r="A11" s="171" t="s">
        <v>488</v>
      </c>
      <c r="B11" s="168" t="s">
        <v>489</v>
      </c>
      <c r="C11" s="169" t="s">
        <v>490</v>
      </c>
      <c r="D11" s="170" t="s">
        <v>491</v>
      </c>
      <c r="I11" s="147" t="s">
        <v>459</v>
      </c>
      <c r="J11" s="147" t="s">
        <v>464</v>
      </c>
      <c r="K11" s="147" t="s">
        <v>464</v>
      </c>
      <c r="L11" s="147" t="s">
        <v>42</v>
      </c>
      <c r="M11" s="147" t="s">
        <v>42</v>
      </c>
      <c r="N11" s="147" t="s">
        <v>464</v>
      </c>
      <c r="O11" s="147" t="s">
        <v>464</v>
      </c>
    </row>
    <row r="12" customFormat="false" ht="12.75" hidden="false" customHeight="false" outlineLevel="0" collapsed="false">
      <c r="A12" s="171" t="s">
        <v>492</v>
      </c>
      <c r="B12" s="160" t="s">
        <v>493</v>
      </c>
      <c r="C12" s="172" t="s">
        <v>494</v>
      </c>
      <c r="D12" s="173" t="s">
        <v>495</v>
      </c>
      <c r="I12" s="147" t="s">
        <v>496</v>
      </c>
      <c r="J12" s="147" t="s">
        <v>470</v>
      </c>
      <c r="K12" s="147" t="s">
        <v>470</v>
      </c>
      <c r="L12" s="147" t="s">
        <v>42</v>
      </c>
      <c r="M12" s="147" t="s">
        <v>42</v>
      </c>
      <c r="N12" s="147" t="s">
        <v>470</v>
      </c>
      <c r="O12" s="147" t="s">
        <v>470</v>
      </c>
    </row>
    <row r="13" customFormat="false" ht="12.75" hidden="false" customHeight="false" outlineLevel="0" collapsed="false">
      <c r="A13" s="171" t="s">
        <v>497</v>
      </c>
      <c r="B13" s="160" t="s">
        <v>498</v>
      </c>
      <c r="C13" s="172" t="s">
        <v>499</v>
      </c>
      <c r="D13" s="173" t="s">
        <v>500</v>
      </c>
      <c r="I13" s="147" t="s">
        <v>501</v>
      </c>
      <c r="J13" s="147" t="s">
        <v>470</v>
      </c>
      <c r="K13" s="147" t="s">
        <v>470</v>
      </c>
      <c r="L13" s="147" t="s">
        <v>42</v>
      </c>
      <c r="M13" s="147" t="s">
        <v>42</v>
      </c>
      <c r="N13" s="147" t="s">
        <v>470</v>
      </c>
      <c r="O13" s="147" t="s">
        <v>470</v>
      </c>
    </row>
    <row r="14" customFormat="false" ht="12.75" hidden="false" customHeight="false" outlineLevel="0" collapsed="false">
      <c r="A14" s="171" t="s">
        <v>36</v>
      </c>
      <c r="B14" s="160" t="s">
        <v>502</v>
      </c>
      <c r="C14" s="172" t="s">
        <v>503</v>
      </c>
      <c r="D14" s="173" t="s">
        <v>504</v>
      </c>
      <c r="I14" s="147" t="s">
        <v>505</v>
      </c>
      <c r="J14" s="147" t="s">
        <v>469</v>
      </c>
      <c r="K14" s="147" t="s">
        <v>469</v>
      </c>
      <c r="L14" s="147" t="s">
        <v>42</v>
      </c>
      <c r="M14" s="147" t="s">
        <v>42</v>
      </c>
      <c r="N14" s="147" t="s">
        <v>469</v>
      </c>
      <c r="O14" s="147" t="s">
        <v>469</v>
      </c>
    </row>
    <row r="15" customFormat="false" ht="12.75" hidden="false" customHeight="false" outlineLevel="0" collapsed="false">
      <c r="A15" s="171" t="s">
        <v>506</v>
      </c>
      <c r="B15" s="160" t="s">
        <v>507</v>
      </c>
      <c r="C15" s="172" t="s">
        <v>508</v>
      </c>
      <c r="D15" s="173" t="s">
        <v>509</v>
      </c>
      <c r="I15" s="147" t="s">
        <v>510</v>
      </c>
      <c r="J15" s="147" t="s">
        <v>480</v>
      </c>
      <c r="K15" s="147" t="s">
        <v>480</v>
      </c>
      <c r="L15" s="147" t="s">
        <v>42</v>
      </c>
      <c r="M15" s="147" t="s">
        <v>457</v>
      </c>
      <c r="N15" s="147" t="s">
        <v>480</v>
      </c>
      <c r="O15" s="147" t="s">
        <v>480</v>
      </c>
    </row>
    <row r="16" customFormat="false" ht="13.5" hidden="false" customHeight="false" outlineLevel="0" collapsed="false">
      <c r="A16" s="163" t="s">
        <v>511</v>
      </c>
      <c r="B16" s="164" t="s">
        <v>512</v>
      </c>
      <c r="C16" s="176" t="s">
        <v>513</v>
      </c>
      <c r="D16" s="177" t="s">
        <v>514</v>
      </c>
      <c r="I16" s="147" t="s">
        <v>515</v>
      </c>
      <c r="J16" s="147" t="s">
        <v>475</v>
      </c>
      <c r="K16" s="147" t="s">
        <v>475</v>
      </c>
      <c r="L16" s="147" t="s">
        <v>42</v>
      </c>
      <c r="M16" s="147" t="s">
        <v>42</v>
      </c>
      <c r="N16" s="147" t="s">
        <v>475</v>
      </c>
      <c r="O16" s="147" t="s">
        <v>475</v>
      </c>
    </row>
    <row r="17" customFormat="false" ht="12.75" hidden="false" customHeight="false" outlineLevel="0" collapsed="false">
      <c r="A17" s="167" t="s">
        <v>516</v>
      </c>
      <c r="B17" s="168" t="s">
        <v>517</v>
      </c>
      <c r="C17" s="169" t="s">
        <v>518</v>
      </c>
      <c r="D17" s="170" t="s">
        <v>519</v>
      </c>
      <c r="I17" s="147" t="s">
        <v>446</v>
      </c>
      <c r="J17" s="147" t="s">
        <v>446</v>
      </c>
      <c r="K17" s="147" t="s">
        <v>446</v>
      </c>
      <c r="L17" s="147" t="s">
        <v>42</v>
      </c>
      <c r="M17" s="147" t="s">
        <v>42</v>
      </c>
      <c r="N17" s="147" t="s">
        <v>446</v>
      </c>
      <c r="O17" s="147" t="s">
        <v>446</v>
      </c>
    </row>
    <row r="18" customFormat="false" ht="12.75" hidden="false" customHeight="false" outlineLevel="0" collapsed="false">
      <c r="A18" s="171" t="s">
        <v>520</v>
      </c>
      <c r="B18" s="160" t="s">
        <v>521</v>
      </c>
      <c r="C18" s="172" t="s">
        <v>522</v>
      </c>
      <c r="D18" s="173" t="s">
        <v>523</v>
      </c>
      <c r="I18" s="147" t="s">
        <v>451</v>
      </c>
      <c r="J18" s="147" t="s">
        <v>470</v>
      </c>
      <c r="K18" s="147" t="s">
        <v>470</v>
      </c>
      <c r="L18" s="147" t="s">
        <v>42</v>
      </c>
      <c r="M18" s="147" t="s">
        <v>42</v>
      </c>
      <c r="N18" s="147" t="s">
        <v>470</v>
      </c>
      <c r="O18" s="147" t="s">
        <v>470</v>
      </c>
    </row>
    <row r="19" customFormat="false" ht="12.75" hidden="false" customHeight="false" outlineLevel="0" collapsed="false">
      <c r="A19" s="171" t="s">
        <v>524</v>
      </c>
      <c r="B19" s="160" t="s">
        <v>525</v>
      </c>
      <c r="C19" s="172" t="s">
        <v>526</v>
      </c>
      <c r="D19" s="173" t="s">
        <v>527</v>
      </c>
      <c r="I19" s="147" t="s">
        <v>457</v>
      </c>
      <c r="J19" s="147" t="s">
        <v>470</v>
      </c>
      <c r="K19" s="147" t="s">
        <v>470</v>
      </c>
      <c r="L19" s="147" t="s">
        <v>42</v>
      </c>
      <c r="M19" s="147" t="s">
        <v>42</v>
      </c>
      <c r="N19" s="147" t="s">
        <v>470</v>
      </c>
      <c r="O19" s="147" t="s">
        <v>470</v>
      </c>
    </row>
    <row r="20" customFormat="false" ht="12.75" hidden="false" customHeight="false" outlineLevel="0" collapsed="false">
      <c r="A20" s="171" t="s">
        <v>528</v>
      </c>
      <c r="B20" s="160" t="s">
        <v>529</v>
      </c>
      <c r="C20" s="172" t="s">
        <v>530</v>
      </c>
      <c r="D20" s="173" t="s">
        <v>531</v>
      </c>
      <c r="I20" s="147" t="s">
        <v>447</v>
      </c>
      <c r="J20" s="147" t="s">
        <v>451</v>
      </c>
      <c r="K20" s="147" t="s">
        <v>451</v>
      </c>
      <c r="L20" s="147" t="s">
        <v>42</v>
      </c>
      <c r="M20" s="147" t="s">
        <v>42</v>
      </c>
      <c r="N20" s="147" t="s">
        <v>451</v>
      </c>
      <c r="O20" s="147" t="s">
        <v>451</v>
      </c>
    </row>
    <row r="21" customFormat="false" ht="12.75" hidden="false" customHeight="false" outlineLevel="0" collapsed="false">
      <c r="A21" s="159" t="s">
        <v>134</v>
      </c>
      <c r="B21" s="160" t="s">
        <v>532</v>
      </c>
      <c r="C21" s="172" t="s">
        <v>533</v>
      </c>
      <c r="D21" s="173" t="s">
        <v>534</v>
      </c>
      <c r="I21" s="147" t="s">
        <v>452</v>
      </c>
      <c r="J21" s="147" t="s">
        <v>470</v>
      </c>
      <c r="K21" s="147" t="s">
        <v>470</v>
      </c>
      <c r="L21" s="147" t="s">
        <v>42</v>
      </c>
      <c r="M21" s="147" t="s">
        <v>446</v>
      </c>
      <c r="N21" s="147" t="s">
        <v>470</v>
      </c>
      <c r="O21" s="147" t="s">
        <v>470</v>
      </c>
    </row>
    <row r="22" customFormat="false" ht="13.5" hidden="false" customHeight="false" outlineLevel="0" collapsed="false">
      <c r="A22" s="163" t="s">
        <v>535</v>
      </c>
      <c r="B22" s="164" t="s">
        <v>536</v>
      </c>
      <c r="C22" s="176" t="s">
        <v>537</v>
      </c>
      <c r="D22" s="177" t="s">
        <v>538</v>
      </c>
      <c r="I22" s="147" t="s">
        <v>458</v>
      </c>
      <c r="J22" s="147" t="s">
        <v>457</v>
      </c>
      <c r="K22" s="147" t="s">
        <v>457</v>
      </c>
      <c r="L22" s="147" t="s">
        <v>42</v>
      </c>
      <c r="M22" s="147" t="s">
        <v>42</v>
      </c>
      <c r="N22" s="147" t="s">
        <v>457</v>
      </c>
      <c r="O22" s="147" t="s">
        <v>457</v>
      </c>
    </row>
    <row r="23" customFormat="false" ht="13.5" hidden="false" customHeight="true" outlineLevel="0" collapsed="false">
      <c r="A23" s="178" t="s">
        <v>71</v>
      </c>
      <c r="B23" s="178"/>
      <c r="C23" s="178"/>
      <c r="D23" s="178"/>
      <c r="I23" s="2"/>
      <c r="J23" s="2"/>
      <c r="K23" s="2"/>
      <c r="L23" s="2"/>
      <c r="M23" s="2"/>
      <c r="N23" s="2"/>
      <c r="O23" s="2"/>
    </row>
    <row r="24" customFormat="false" ht="12.75" hidden="false" customHeight="false" outlineLevel="0" collapsed="false">
      <c r="A24" s="179"/>
      <c r="B24" s="180"/>
      <c r="C24" s="180"/>
      <c r="D24" s="181"/>
    </row>
    <row r="25" customFormat="false" ht="12.75" hidden="false" customHeight="false" outlineLevel="0" collapsed="false">
      <c r="A25" s="182"/>
      <c r="B25" s="183"/>
      <c r="C25" s="183"/>
      <c r="D25" s="184"/>
    </row>
    <row r="26" customFormat="false" ht="13.5" hidden="false" customHeight="true" outlineLevel="0" collapsed="false">
      <c r="A26" s="182"/>
      <c r="B26" s="183"/>
      <c r="C26" s="183"/>
      <c r="D26" s="184"/>
    </row>
    <row r="27" customFormat="false" ht="12.75" hidden="false" customHeight="false" outlineLevel="0" collapsed="false">
      <c r="A27" s="182"/>
      <c r="B27" s="183"/>
      <c r="C27" s="183"/>
      <c r="D27" s="184"/>
    </row>
    <row r="28" customFormat="false" ht="12.75" hidden="false" customHeight="false" outlineLevel="0" collapsed="false">
      <c r="A28" s="182"/>
      <c r="B28" s="183"/>
      <c r="C28" s="183"/>
      <c r="D28" s="184"/>
    </row>
    <row r="29" customFormat="false" ht="12.75" hidden="false" customHeight="false" outlineLevel="0" collapsed="false">
      <c r="A29" s="182"/>
      <c r="B29" s="183"/>
      <c r="C29" s="183"/>
      <c r="D29" s="184"/>
    </row>
    <row r="30" customFormat="false" ht="13.5" hidden="false" customHeight="false" outlineLevel="0" collapsed="false">
      <c r="A30" s="185"/>
      <c r="B30" s="186"/>
      <c r="C30" s="186"/>
      <c r="D30" s="187"/>
    </row>
    <row r="31" customFormat="false" ht="13.5" hidden="false" customHeight="false" outlineLevel="0" collapsed="false"/>
    <row r="32" customFormat="false" ht="13.5" hidden="false" customHeight="false" outlineLevel="0" collapsed="false">
      <c r="C32" s="188"/>
      <c r="D32" s="155" t="s">
        <v>539</v>
      </c>
    </row>
  </sheetData>
  <mergeCells count="2">
    <mergeCell ref="F2:F9"/>
    <mergeCell ref="A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40625" defaultRowHeight="12.75" zeroHeight="false" outlineLevelRow="0" outlineLevelCol="0"/>
  <cols>
    <col collapsed="false" customWidth="true" hidden="false" outlineLevel="0" max="1" min="1" style="0" width="5.27"/>
    <col collapsed="false" customWidth="true" hidden="false" outlineLevel="0" max="2" min="2" style="0" width="19.69"/>
  </cols>
  <sheetData>
    <row r="1" customFormat="false" ht="13.5" hidden="false" customHeight="false" outlineLevel="0" collapsed="false">
      <c r="A1" s="189" t="s">
        <v>427</v>
      </c>
      <c r="B1" s="189" t="s">
        <v>540</v>
      </c>
    </row>
    <row r="2" customFormat="false" ht="12.75" hidden="false" customHeight="false" outlineLevel="0" collapsed="false">
      <c r="A2" s="190" t="s">
        <v>541</v>
      </c>
      <c r="B2" s="191" t="s">
        <v>278</v>
      </c>
    </row>
    <row r="3" customFormat="false" ht="12.75" hidden="false" customHeight="false" outlineLevel="0" collapsed="false">
      <c r="A3" s="192" t="s">
        <v>542</v>
      </c>
      <c r="B3" s="193" t="s">
        <v>543</v>
      </c>
    </row>
    <row r="4" customFormat="false" ht="12.75" hidden="false" customHeight="false" outlineLevel="0" collapsed="false">
      <c r="A4" s="192" t="s">
        <v>544</v>
      </c>
      <c r="B4" s="193" t="s">
        <v>545</v>
      </c>
    </row>
    <row r="5" customFormat="false" ht="12.75" hidden="false" customHeight="false" outlineLevel="0" collapsed="false">
      <c r="A5" s="192" t="s">
        <v>546</v>
      </c>
      <c r="B5" s="193" t="s">
        <v>547</v>
      </c>
    </row>
    <row r="6" customFormat="false" ht="12.75" hidden="false" customHeight="false" outlineLevel="0" collapsed="false">
      <c r="A6" s="192" t="s">
        <v>548</v>
      </c>
      <c r="B6" s="193" t="s">
        <v>548</v>
      </c>
    </row>
    <row r="7" customFormat="false" ht="12.75" hidden="false" customHeight="false" outlineLevel="0" collapsed="false">
      <c r="A7" s="192" t="s">
        <v>549</v>
      </c>
      <c r="B7" s="193" t="s">
        <v>190</v>
      </c>
    </row>
    <row r="8" customFormat="false" ht="12.75" hidden="false" customHeight="false" outlineLevel="0" collapsed="false">
      <c r="A8" s="192" t="s">
        <v>550</v>
      </c>
      <c r="B8" s="193" t="s">
        <v>551</v>
      </c>
    </row>
    <row r="9" customFormat="false" ht="12.75" hidden="false" customHeight="false" outlineLevel="0" collapsed="false">
      <c r="A9" s="192" t="s">
        <v>552</v>
      </c>
      <c r="B9" s="193" t="s">
        <v>269</v>
      </c>
    </row>
    <row r="10" customFormat="false" ht="12.75" hidden="false" customHeight="false" outlineLevel="0" collapsed="false">
      <c r="A10" s="192" t="s">
        <v>553</v>
      </c>
      <c r="B10" s="193" t="s">
        <v>554</v>
      </c>
    </row>
    <row r="11" customFormat="false" ht="12.75" hidden="false" customHeight="false" outlineLevel="0" collapsed="false">
      <c r="A11" s="192" t="s">
        <v>555</v>
      </c>
      <c r="B11" s="193" t="s">
        <v>284</v>
      </c>
    </row>
    <row r="12" customFormat="false" ht="12.75" hidden="false" customHeight="false" outlineLevel="0" collapsed="false">
      <c r="A12" s="192" t="s">
        <v>556</v>
      </c>
      <c r="B12" s="193" t="s">
        <v>275</v>
      </c>
    </row>
    <row r="13" customFormat="false" ht="12.75" hidden="false" customHeight="false" outlineLevel="0" collapsed="false">
      <c r="A13" s="192" t="s">
        <v>557</v>
      </c>
      <c r="B13" s="193" t="s">
        <v>558</v>
      </c>
    </row>
    <row r="14" customFormat="false" ht="12.75" hidden="false" customHeight="false" outlineLevel="0" collapsed="false">
      <c r="A14" s="192" t="s">
        <v>559</v>
      </c>
      <c r="B14" s="193" t="s">
        <v>560</v>
      </c>
    </row>
    <row r="15" customFormat="false" ht="12.75" hidden="false" customHeight="false" outlineLevel="0" collapsed="false">
      <c r="A15" s="192" t="s">
        <v>561</v>
      </c>
      <c r="B15" s="193" t="s">
        <v>562</v>
      </c>
    </row>
    <row r="16" customFormat="false" ht="12.75" hidden="false" customHeight="false" outlineLevel="0" collapsed="false">
      <c r="A16" s="192" t="s">
        <v>563</v>
      </c>
      <c r="B16" s="193" t="s">
        <v>564</v>
      </c>
    </row>
    <row r="17" customFormat="false" ht="12.75" hidden="false" customHeight="false" outlineLevel="0" collapsed="false">
      <c r="A17" s="192" t="s">
        <v>565</v>
      </c>
      <c r="B17" s="193" t="s">
        <v>130</v>
      </c>
    </row>
    <row r="18" customFormat="false" ht="12.75" hidden="false" customHeight="false" outlineLevel="0" collapsed="false">
      <c r="A18" s="192" t="s">
        <v>566</v>
      </c>
      <c r="B18" s="193" t="s">
        <v>567</v>
      </c>
    </row>
    <row r="19" customFormat="false" ht="12.75" hidden="false" customHeight="false" outlineLevel="0" collapsed="false">
      <c r="A19" s="192" t="s">
        <v>568</v>
      </c>
      <c r="B19" s="193" t="s">
        <v>569</v>
      </c>
    </row>
    <row r="20" customFormat="false" ht="12.75" hidden="false" customHeight="false" outlineLevel="0" collapsed="false">
      <c r="A20" s="192" t="s">
        <v>570</v>
      </c>
      <c r="B20" s="193" t="s">
        <v>571</v>
      </c>
    </row>
    <row r="21" customFormat="false" ht="12.75" hidden="false" customHeight="false" outlineLevel="0" collapsed="false">
      <c r="A21" s="192" t="s">
        <v>572</v>
      </c>
      <c r="B21" s="193" t="s">
        <v>172</v>
      </c>
    </row>
    <row r="22" customFormat="false" ht="12.75" hidden="false" customHeight="false" outlineLevel="0" collapsed="false">
      <c r="A22" s="192" t="s">
        <v>573</v>
      </c>
      <c r="B22" s="193" t="s">
        <v>186</v>
      </c>
    </row>
    <row r="23" customFormat="false" ht="12.75" hidden="false" customHeight="false" outlineLevel="0" collapsed="false">
      <c r="A23" s="192" t="s">
        <v>574</v>
      </c>
      <c r="B23" s="193" t="s">
        <v>575</v>
      </c>
    </row>
    <row r="24" customFormat="false" ht="12.75" hidden="false" customHeight="false" outlineLevel="0" collapsed="false">
      <c r="A24" s="192" t="s">
        <v>576</v>
      </c>
      <c r="B24" s="193" t="s">
        <v>577</v>
      </c>
    </row>
    <row r="25" customFormat="false" ht="12.75" hidden="false" customHeight="false" outlineLevel="0" collapsed="false">
      <c r="A25" s="192" t="s">
        <v>578</v>
      </c>
      <c r="B25" s="193" t="s">
        <v>280</v>
      </c>
    </row>
    <row r="26" customFormat="false" ht="12.75" hidden="false" customHeight="false" outlineLevel="0" collapsed="false">
      <c r="A26" s="192" t="s">
        <v>579</v>
      </c>
      <c r="B26" s="193" t="s">
        <v>580</v>
      </c>
    </row>
    <row r="27" customFormat="false" ht="12.75" hidden="false" customHeight="false" outlineLevel="0" collapsed="false">
      <c r="A27" s="192" t="s">
        <v>581</v>
      </c>
      <c r="B27" s="193" t="s">
        <v>582</v>
      </c>
    </row>
    <row r="28" customFormat="false" ht="12.75" hidden="false" customHeight="false" outlineLevel="0" collapsed="false">
      <c r="A28" s="192" t="s">
        <v>583</v>
      </c>
      <c r="B28" s="193" t="s">
        <v>86</v>
      </c>
    </row>
    <row r="29" customFormat="false" ht="12.75" hidden="false" customHeight="false" outlineLevel="0" collapsed="false">
      <c r="A29" s="192" t="s">
        <v>584</v>
      </c>
      <c r="B29" s="193" t="s">
        <v>290</v>
      </c>
    </row>
    <row r="30" customFormat="false" ht="12.75" hidden="false" customHeight="false" outlineLevel="0" collapsed="false">
      <c r="A30" s="192" t="s">
        <v>585</v>
      </c>
      <c r="B30" s="193" t="s">
        <v>290</v>
      </c>
    </row>
    <row r="31" customFormat="false" ht="13.5" hidden="false" customHeight="false" outlineLevel="0" collapsed="false">
      <c r="A31" s="194" t="s">
        <v>586</v>
      </c>
      <c r="B31" s="195" t="s">
        <v>587</v>
      </c>
    </row>
    <row r="32" customFormat="false" ht="12.75" hidden="false" customHeight="false" outlineLevel="0" collapsed="false">
      <c r="A32" s="196"/>
      <c r="B32" s="197"/>
    </row>
    <row r="33" customFormat="false" ht="13.5" hidden="false" customHeight="false" outlineLevel="0" collapsed="false">
      <c r="A33" s="198"/>
      <c r="B33" s="199"/>
    </row>
    <row r="34" customFormat="false" ht="13.5" hidden="false" customHeight="false" outlineLevel="0" collapsed="false">
      <c r="A34" s="198"/>
      <c r="B34" s="199"/>
      <c r="D34" s="200"/>
      <c r="E34" s="155" t="s">
        <v>539</v>
      </c>
    </row>
    <row r="35" customFormat="false" ht="12.75" hidden="false" customHeight="false" outlineLevel="0" collapsed="false">
      <c r="A35" s="198"/>
      <c r="B35" s="199"/>
    </row>
    <row r="36" customFormat="false" ht="12.75" hidden="false" customHeight="false" outlineLevel="0" collapsed="false">
      <c r="A36" s="198"/>
      <c r="B36" s="199"/>
    </row>
    <row r="37" customFormat="false" ht="12.75" hidden="false" customHeight="false" outlineLevel="0" collapsed="false">
      <c r="A37" s="198"/>
      <c r="B37" s="199"/>
    </row>
    <row r="38" customFormat="false" ht="13.5" hidden="false" customHeight="false" outlineLevel="0" collapsed="false">
      <c r="A38" s="201"/>
      <c r="B38" s="20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0625" defaultRowHeight="12.75" zeroHeight="false" outlineLevelRow="0" outlineLevelCol="0"/>
  <sheetData>
    <row r="1" customFormat="false" ht="12.75" hidden="false" customHeight="false" outlineLevel="0" collapsed="false">
      <c r="A1" s="203" t="n">
        <v>3550</v>
      </c>
      <c r="B1" s="204" t="s">
        <v>88</v>
      </c>
    </row>
    <row r="2" customFormat="false" ht="12.75" hidden="false" customHeight="false" outlineLevel="0" collapsed="false">
      <c r="A2" s="203" t="n">
        <v>3550</v>
      </c>
      <c r="B2" s="204" t="s">
        <v>88</v>
      </c>
    </row>
    <row r="3" customFormat="false" ht="12.75" hidden="false" customHeight="false" outlineLevel="0" collapsed="false">
      <c r="A3" s="203" t="n">
        <v>3550</v>
      </c>
      <c r="B3" s="204" t="s">
        <v>88</v>
      </c>
    </row>
    <row r="4" customFormat="false" ht="12.75" hidden="false" customHeight="false" outlineLevel="0" collapsed="false">
      <c r="A4" s="203" t="n">
        <v>3450</v>
      </c>
      <c r="B4" s="204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Z5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11" activeCellId="0" sqref="D11"/>
    </sheetView>
  </sheetViews>
  <sheetFormatPr defaultColWidth="11.40625" defaultRowHeight="12.75" zeroHeight="false" outlineLevelRow="0" outlineLevelCol="0"/>
  <cols>
    <col collapsed="false" customWidth="true" hidden="false" outlineLevel="0" max="1" min="1" style="205" width="9.84"/>
    <col collapsed="false" customWidth="true" hidden="false" outlineLevel="0" max="2" min="2" style="205" width="19.98"/>
    <col collapsed="false" customWidth="true" hidden="false" outlineLevel="0" max="3" min="3" style="205" width="50.69"/>
    <col collapsed="false" customWidth="true" hidden="false" outlineLevel="0" max="4" min="4" style="205" width="53.55"/>
    <col collapsed="false" customWidth="true" hidden="false" outlineLevel="0" max="5" min="5" style="205" width="12.41"/>
    <col collapsed="false" customWidth="true" hidden="false" outlineLevel="0" max="6" min="6" style="205" width="22.84"/>
    <col collapsed="false" customWidth="false" hidden="false" outlineLevel="0" max="25" min="7" style="205" width="11.4"/>
    <col collapsed="false" customWidth="true" hidden="false" outlineLevel="0" max="26" min="26" style="205" width="13.98"/>
    <col collapsed="false" customWidth="false" hidden="false" outlineLevel="0" max="257" min="27" style="205" width="11.4"/>
  </cols>
  <sheetData>
    <row r="4" customFormat="false" ht="12.75" hidden="false" customHeight="true" outlineLevel="0" collapsed="false">
      <c r="E4" s="206"/>
    </row>
    <row r="5" customFormat="false" ht="12.75" hidden="false" customHeight="true" outlineLevel="0" collapsed="false">
      <c r="E5" s="206"/>
    </row>
    <row r="6" customFormat="false" ht="12.75" hidden="false" customHeight="true" outlineLevel="0" collapsed="false">
      <c r="E6" s="207"/>
    </row>
    <row r="7" customFormat="false" ht="26.25" hidden="false" customHeight="true" outlineLevel="0" collapsed="false">
      <c r="A7" s="208" t="s">
        <v>588</v>
      </c>
      <c r="B7" s="208"/>
      <c r="C7" s="208"/>
      <c r="D7" s="208"/>
    </row>
    <row r="10" customFormat="false" ht="13.5" hidden="false" customHeight="true" outlineLevel="0" collapsed="false">
      <c r="A10" s="209" t="s">
        <v>589</v>
      </c>
      <c r="B10" s="209"/>
      <c r="C10" s="209"/>
    </row>
    <row r="11" customFormat="false" ht="58.5" hidden="false" customHeight="true" outlineLevel="0" collapsed="false">
      <c r="A11" s="209"/>
      <c r="B11" s="209"/>
      <c r="C11" s="209"/>
    </row>
    <row r="13" customFormat="false" ht="12.75" hidden="false" customHeight="false" outlineLevel="0" collapsed="false">
      <c r="B13" s="210" t="s">
        <v>590</v>
      </c>
      <c r="C13" s="210" t="s">
        <v>591</v>
      </c>
      <c r="D13" s="211" t="s">
        <v>592</v>
      </c>
      <c r="E13" s="210"/>
    </row>
    <row r="14" customFormat="false" ht="20.25" hidden="false" customHeight="true" outlineLevel="0" collapsed="false">
      <c r="B14" s="212" t="s">
        <v>1</v>
      </c>
      <c r="C14" s="213" t="s">
        <v>7</v>
      </c>
      <c r="D14" s="214" t="s">
        <v>593</v>
      </c>
      <c r="E14" s="215"/>
    </row>
    <row r="15" customFormat="false" ht="20.25" hidden="false" customHeight="true" outlineLevel="0" collapsed="false">
      <c r="B15" s="212"/>
      <c r="C15" s="216" t="s">
        <v>8</v>
      </c>
      <c r="D15" s="217" t="s">
        <v>594</v>
      </c>
      <c r="E15" s="215"/>
    </row>
    <row r="16" customFormat="false" ht="21" hidden="false" customHeight="true" outlineLevel="0" collapsed="false">
      <c r="B16" s="218" t="s">
        <v>3</v>
      </c>
      <c r="C16" s="219" t="s">
        <v>9</v>
      </c>
      <c r="D16" s="220" t="s">
        <v>595</v>
      </c>
      <c r="E16" s="215"/>
    </row>
    <row r="17" customFormat="false" ht="21" hidden="false" customHeight="true" outlineLevel="0" collapsed="false">
      <c r="B17" s="218"/>
      <c r="C17" s="219" t="s">
        <v>10</v>
      </c>
      <c r="D17" s="220" t="s">
        <v>596</v>
      </c>
      <c r="E17" s="215"/>
    </row>
    <row r="18" customFormat="false" ht="84" hidden="false" customHeight="false" outlineLevel="0" collapsed="false">
      <c r="B18" s="218"/>
      <c r="C18" s="219" t="s">
        <v>11</v>
      </c>
      <c r="D18" s="220" t="s">
        <v>597</v>
      </c>
      <c r="E18" s="215"/>
    </row>
    <row r="19" customFormat="false" ht="21" hidden="false" customHeight="true" outlineLevel="0" collapsed="false">
      <c r="B19" s="218" t="s">
        <v>4</v>
      </c>
      <c r="C19" s="219" t="s">
        <v>598</v>
      </c>
      <c r="D19" s="220" t="s">
        <v>595</v>
      </c>
      <c r="E19" s="215"/>
    </row>
    <row r="20" customFormat="false" ht="21" hidden="false" customHeight="true" outlineLevel="0" collapsed="false">
      <c r="B20" s="218"/>
      <c r="C20" s="219" t="s">
        <v>599</v>
      </c>
      <c r="D20" s="220" t="s">
        <v>596</v>
      </c>
      <c r="E20" s="215"/>
    </row>
    <row r="21" customFormat="false" ht="84" hidden="false" customHeight="false" outlineLevel="0" collapsed="false">
      <c r="B21" s="218"/>
      <c r="C21" s="219" t="s">
        <v>11</v>
      </c>
      <c r="D21" s="220" t="s">
        <v>597</v>
      </c>
      <c r="E21" s="215"/>
    </row>
    <row r="22" customFormat="false" ht="21" hidden="false" customHeight="true" outlineLevel="0" collapsed="false">
      <c r="B22" s="218" t="s">
        <v>5</v>
      </c>
      <c r="C22" s="219" t="s">
        <v>12</v>
      </c>
      <c r="D22" s="221" t="s">
        <v>600</v>
      </c>
      <c r="E22" s="215"/>
    </row>
    <row r="23" customFormat="false" ht="21" hidden="false" customHeight="true" outlineLevel="0" collapsed="false">
      <c r="B23" s="218"/>
      <c r="C23" s="219" t="s">
        <v>13</v>
      </c>
      <c r="D23" s="221" t="s">
        <v>601</v>
      </c>
      <c r="E23" s="215"/>
    </row>
    <row r="24" customFormat="false" ht="21" hidden="false" customHeight="true" outlineLevel="0" collapsed="false">
      <c r="B24" s="218"/>
      <c r="C24" s="219" t="s">
        <v>11</v>
      </c>
      <c r="D24" s="221" t="s">
        <v>602</v>
      </c>
      <c r="E24" s="215"/>
    </row>
    <row r="25" customFormat="false" ht="21" hidden="false" customHeight="true" outlineLevel="0" collapsed="false">
      <c r="B25" s="218"/>
      <c r="C25" s="219" t="s">
        <v>15</v>
      </c>
      <c r="D25" s="222" t="s">
        <v>603</v>
      </c>
      <c r="E25" s="215"/>
    </row>
    <row r="26" customFormat="false" ht="21" hidden="false" customHeight="true" outlineLevel="0" collapsed="false">
      <c r="B26" s="218"/>
      <c r="C26" s="219" t="s">
        <v>16</v>
      </c>
      <c r="D26" s="222"/>
      <c r="E26" s="215"/>
    </row>
    <row r="27" customFormat="false" ht="21" hidden="false" customHeight="true" outlineLevel="0" collapsed="false">
      <c r="B27" s="218"/>
      <c r="C27" s="219" t="s">
        <v>17</v>
      </c>
      <c r="D27" s="221" t="s">
        <v>604</v>
      </c>
      <c r="E27" s="215"/>
    </row>
    <row r="28" customFormat="false" ht="21" hidden="false" customHeight="true" outlineLevel="0" collapsed="false">
      <c r="B28" s="218"/>
      <c r="C28" s="219" t="s">
        <v>605</v>
      </c>
      <c r="D28" s="221" t="s">
        <v>606</v>
      </c>
      <c r="E28" s="215"/>
    </row>
    <row r="29" customFormat="false" ht="24" hidden="false" customHeight="true" outlineLevel="0" collapsed="false">
      <c r="B29" s="218" t="s">
        <v>607</v>
      </c>
      <c r="C29" s="219" t="s">
        <v>608</v>
      </c>
      <c r="D29" s="220" t="s">
        <v>609</v>
      </c>
      <c r="E29" s="215"/>
    </row>
    <row r="30" customFormat="false" ht="36" hidden="false" customHeight="false" outlineLevel="0" collapsed="false">
      <c r="B30" s="218"/>
      <c r="C30" s="219" t="s">
        <v>610</v>
      </c>
      <c r="D30" s="220" t="s">
        <v>611</v>
      </c>
      <c r="E30" s="215"/>
    </row>
    <row r="31" customFormat="false" ht="24" hidden="false" customHeight="false" outlineLevel="0" collapsed="false">
      <c r="B31" s="218"/>
      <c r="C31" s="219" t="s">
        <v>612</v>
      </c>
      <c r="D31" s="220" t="s">
        <v>613</v>
      </c>
      <c r="E31" s="215"/>
      <c r="Z31" s="205" t="s">
        <v>362</v>
      </c>
    </row>
    <row r="32" customFormat="false" ht="20.25" hidden="false" customHeight="true" outlineLevel="0" collapsed="false"/>
    <row r="49" customFormat="false" ht="12.75" hidden="false" customHeight="false" outlineLevel="0" collapsed="false">
      <c r="A49" s="223" t="s">
        <v>30</v>
      </c>
    </row>
    <row r="50" customFormat="false" ht="12.75" hidden="false" customHeight="false" outlineLevel="0" collapsed="false">
      <c r="A50" s="205" t="s">
        <v>37</v>
      </c>
    </row>
    <row r="51" customFormat="false" ht="34.5" hidden="false" customHeight="false" outlineLevel="0" collapsed="false">
      <c r="A51" s="224"/>
      <c r="B51" s="223"/>
    </row>
    <row r="52" customFormat="false" ht="18" hidden="false" customHeight="false" outlineLevel="0" collapsed="false">
      <c r="A52" s="225"/>
    </row>
  </sheetData>
  <mergeCells count="8">
    <mergeCell ref="A7:D7"/>
    <mergeCell ref="A10:C11"/>
    <mergeCell ref="B14:B15"/>
    <mergeCell ref="B16:B18"/>
    <mergeCell ref="B19:B21"/>
    <mergeCell ref="B22:B28"/>
    <mergeCell ref="D25:D26"/>
    <mergeCell ref="B29:B31"/>
  </mergeCells>
  <printOptions headings="false" gridLines="false" gridLinesSet="true" horizontalCentered="false" verticalCentered="false"/>
  <pageMargins left="0.170138888888889" right="0.159722222222222" top="0.409722222222222" bottom="0.64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2007-05-22T11:28:40Z</dcterms:created>
  <dc:creator>Henri Poujol</dc:creator>
  <dc:description/>
  <dc:language>fr-FR</dc:language>
  <cp:lastModifiedBy>Manuel Martinez</cp:lastModifiedBy>
  <cp:lastPrinted>2010-07-08T14:55:59Z</cp:lastPrinted>
  <dcterms:modified xsi:type="dcterms:W3CDTF">2022-07-26T08:13:01Z</dcterms:modified>
  <cp:revision>0</cp:revision>
  <dc:subject/>
  <dc:title>FR Wage Type Catalog &amp; Fi-Co Posting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untry">
    <vt:lpwstr>France</vt:lpwstr>
  </property>
  <property fmtid="{D5CDD505-2E9C-101B-9397-08002B2CF9AE}" pid="4" name="Document Language">
    <vt:lpwstr>French (France)</vt:lpwstr>
  </property>
  <property fmtid="{D5CDD505-2E9C-101B-9397-08002B2CF9AE}" pid="5" name="Document Type">
    <vt:lpwstr>0</vt:lpwstr>
  </property>
  <property fmtid="{D5CDD505-2E9C-101B-9397-08002B2CF9AE}" pid="6" name="Order">
    <vt:lpwstr>43500.0000000000</vt:lpwstr>
  </property>
  <property fmtid="{D5CDD505-2E9C-101B-9397-08002B2CF9AE}" pid="7" name="Product">
    <vt:lpwstr/>
  </property>
  <property fmtid="{D5CDD505-2E9C-101B-9397-08002B2CF9AE}" pid="8" name="Project Phase">
    <vt:lpwstr>Execution &amp; Control</vt:lpwstr>
  </property>
  <property fmtid="{D5CDD505-2E9C-101B-9397-08002B2CF9AE}" pid="9" name="TemplateUrl">
    <vt:lpwstr/>
  </property>
  <property fmtid="{D5CDD505-2E9C-101B-9397-08002B2CF9AE}" pid="10" name="_CopySource">
    <vt:lpwstr>http://srv-bru-usr-shp:18822/sites/euHReka/euHReka 20 Internal Documentation/5. Localisation/GL-euHReka-PY-Wage Type Catalogue.xls</vt:lpwstr>
  </property>
  <property fmtid="{D5CDD505-2E9C-101B-9397-08002B2CF9AE}" pid="11" name="xd_ProgID">
    <vt:lpwstr/>
  </property>
</Properties>
</file>